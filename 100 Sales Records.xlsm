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D:\Downloads\Projects\Sales Records\"/>
    </mc:Choice>
  </mc:AlternateContent>
  <xr:revisionPtr revIDLastSave="0" documentId="13_ncr:1_{80722606-DB49-4577-A59B-225D6EB71E5E}" xr6:coauthVersionLast="47" xr6:coauthVersionMax="47" xr10:uidLastSave="{00000000-0000-0000-0000-000000000000}"/>
  <bookViews>
    <workbookView xWindow="-108" yWindow="-108" windowWidth="23256" windowHeight="12456" tabRatio="840" activeTab="3" xr2:uid="{00000000-000D-0000-FFFF-FFFF00000000}"/>
  </bookViews>
  <sheets>
    <sheet name="100 Sales Records" sheetId="1" r:id="rId1"/>
    <sheet name="Calc" sheetId="16" r:id="rId2"/>
    <sheet name="Sheet3" sheetId="6" r:id="rId3"/>
    <sheet name="Top 5 coun." sheetId="15" r:id="rId4"/>
    <sheet name="Pie Chart" sheetId="12" r:id="rId5"/>
    <sheet name="Order count by region" sheetId="14" r:id="rId6"/>
    <sheet name="Order Priority" sheetId="13" r:id="rId7"/>
    <sheet name="Sheet2" sheetId="17" r:id="rId8"/>
    <sheet name="Dashboard" sheetId="11" r:id="rId9"/>
  </sheets>
  <definedNames>
    <definedName name="Slicer_Country">#N/A</definedName>
    <definedName name="Slicer_Item_Type">#N/A</definedName>
    <definedName name="Slicer_Order_Date">#N/A</definedName>
    <definedName name="Slicer_Region">#N/A</definedName>
    <definedName name="Slicer_Sales_Channel">#N/A</definedName>
    <definedName name="Slicer_Years">#N/A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6"/>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14" i="16" l="1"/>
  <c r="L14" i="16" s="1"/>
  <c r="K4" i="16"/>
  <c r="G20" i="16" l="1"/>
  <c r="G21" i="16"/>
  <c r="G22" i="16"/>
  <c r="G23" i="16"/>
  <c r="G24" i="16"/>
  <c r="G25" i="16"/>
  <c r="G26" i="16"/>
  <c r="G27" i="16"/>
  <c r="G28" i="16"/>
  <c r="G29" i="16"/>
  <c r="G30" i="16"/>
  <c r="G19" i="16"/>
  <c r="I21" i="16"/>
  <c r="I20" i="16"/>
  <c r="F20" i="16"/>
  <c r="F21" i="16"/>
  <c r="F22" i="16"/>
  <c r="F23" i="16"/>
  <c r="F24" i="16"/>
  <c r="F25" i="16"/>
  <c r="F26" i="16"/>
  <c r="F27" i="16"/>
  <c r="F28" i="16"/>
  <c r="F29" i="16"/>
  <c r="F30" i="16"/>
  <c r="F19"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2" i="16"/>
  <c r="K5" i="16"/>
  <c r="K6" i="16"/>
  <c r="H4" i="16"/>
  <c r="H5" i="16"/>
  <c r="H6" i="16"/>
  <c r="H7" i="16"/>
  <c r="H8" i="16"/>
  <c r="H9" i="16"/>
  <c r="H10" i="16"/>
  <c r="H11" i="16"/>
  <c r="H12" i="16"/>
  <c r="H13" i="16"/>
  <c r="H14" i="16"/>
  <c r="H15" i="16"/>
  <c r="G4" i="16"/>
  <c r="G5" i="16"/>
  <c r="G6" i="16"/>
  <c r="G7" i="16"/>
  <c r="G8" i="16"/>
  <c r="G9" i="16"/>
  <c r="G10" i="16"/>
  <c r="G11" i="16"/>
  <c r="G12" i="16"/>
  <c r="G13" i="16"/>
  <c r="G14" i="16"/>
  <c r="G15" i="16"/>
  <c r="F5" i="16"/>
  <c r="F6" i="16"/>
  <c r="F7" i="16"/>
  <c r="F8" i="16"/>
  <c r="F9" i="16"/>
  <c r="F10" i="16"/>
  <c r="F11" i="16"/>
  <c r="F12" i="16"/>
  <c r="F13" i="16"/>
  <c r="F14" i="16"/>
  <c r="F15" i="16"/>
  <c r="F4" i="16"/>
  <c r="B3" i="16"/>
  <c r="B4" i="16"/>
  <c r="B5" i="16"/>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2" i="16"/>
  <c r="K8" i="16" s="1"/>
  <c r="L8" i="16" s="1"/>
  <c r="K12" i="16" l="1"/>
  <c r="L12" i="16" s="1"/>
  <c r="K9" i="16"/>
  <c r="L9" i="16" s="1"/>
  <c r="K11" i="16"/>
  <c r="L11" i="16" s="1"/>
  <c r="H16" i="16"/>
  <c r="G16" i="16"/>
  <c r="F16" i="1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61D4286-ED2F-4A46-9185-7BB8F857121D}" keepAlive="1" name="Query - MX" description="Connection to the 'MX' query in the workbook." type="5" refreshedVersion="0" background="1">
    <dbPr connection="Provider=Microsoft.Mashup.OleDb.1;Data Source=$Workbook$;Location=MX;Extended Properties=&quot;&quot;" command="SELECT * FROM [MX]"/>
  </connection>
</connections>
</file>

<file path=xl/sharedStrings.xml><?xml version="1.0" encoding="utf-8"?>
<sst xmlns="http://schemas.openxmlformats.org/spreadsheetml/2006/main" count="708" uniqueCount="151">
  <si>
    <t>Region</t>
  </si>
  <si>
    <t>Country</t>
  </si>
  <si>
    <t>Item Type</t>
  </si>
  <si>
    <t>Sales Channel</t>
  </si>
  <si>
    <t>Order Priority</t>
  </si>
  <si>
    <t>Order Date</t>
  </si>
  <si>
    <t>Order ID</t>
  </si>
  <si>
    <t>Ship Date</t>
  </si>
  <si>
    <t>Units Sold</t>
  </si>
  <si>
    <t>Unit Price</t>
  </si>
  <si>
    <t>Unit Cost</t>
  </si>
  <si>
    <t>Total Revenue</t>
  </si>
  <si>
    <t>Total Cost</t>
  </si>
  <si>
    <t>Total Profit</t>
  </si>
  <si>
    <t>Australia and Oceania</t>
  </si>
  <si>
    <t>Tuvalu</t>
  </si>
  <si>
    <t>Baby Food</t>
  </si>
  <si>
    <t>Offline</t>
  </si>
  <si>
    <t>H</t>
  </si>
  <si>
    <t>Central America and the Caribbean</t>
  </si>
  <si>
    <t>Grenada</t>
  </si>
  <si>
    <t>Cereal</t>
  </si>
  <si>
    <t>Online</t>
  </si>
  <si>
    <t>C</t>
  </si>
  <si>
    <t>Europe</t>
  </si>
  <si>
    <t>Russia</t>
  </si>
  <si>
    <t>Office Supplies</t>
  </si>
  <si>
    <t>L</t>
  </si>
  <si>
    <t>Sub-Saharan Africa</t>
  </si>
  <si>
    <t>Sao Tome and Principe</t>
  </si>
  <si>
    <t>Fruits</t>
  </si>
  <si>
    <t>Rwanda</t>
  </si>
  <si>
    <t>Solomon Islands</t>
  </si>
  <si>
    <t>Angola</t>
  </si>
  <si>
    <t>Household</t>
  </si>
  <si>
    <t>M</t>
  </si>
  <si>
    <t>Burkina Faso</t>
  </si>
  <si>
    <t>Vegetables</t>
  </si>
  <si>
    <t>Republic of the Congo</t>
  </si>
  <si>
    <t>Personal Care</t>
  </si>
  <si>
    <t>Senegal</t>
  </si>
  <si>
    <t>Asia</t>
  </si>
  <si>
    <t>Kyrgyzstan</t>
  </si>
  <si>
    <t>Cape Verde</t>
  </si>
  <si>
    <t>Clothes</t>
  </si>
  <si>
    <t>Bangladesh</t>
  </si>
  <si>
    <t>Honduras</t>
  </si>
  <si>
    <t>Mongolia</t>
  </si>
  <si>
    <t>Bulgaria</t>
  </si>
  <si>
    <t>Sri Lanka</t>
  </si>
  <si>
    <t>Cosmetics</t>
  </si>
  <si>
    <t>Cameroon</t>
  </si>
  <si>
    <t>Beverages</t>
  </si>
  <si>
    <t>Turkmenistan</t>
  </si>
  <si>
    <t>East Timor</t>
  </si>
  <si>
    <t>Meat</t>
  </si>
  <si>
    <t>Norway</t>
  </si>
  <si>
    <t>Portugal</t>
  </si>
  <si>
    <t>Snacks</t>
  </si>
  <si>
    <t>New Zealand</t>
  </si>
  <si>
    <t xml:space="preserve">Moldova </t>
  </si>
  <si>
    <t>France</t>
  </si>
  <si>
    <t>Kiribati</t>
  </si>
  <si>
    <t>Mali</t>
  </si>
  <si>
    <t>The Gambia</t>
  </si>
  <si>
    <t>Switzerland</t>
  </si>
  <si>
    <t>South Sudan</t>
  </si>
  <si>
    <t>Australia</t>
  </si>
  <si>
    <t>Myanmar</t>
  </si>
  <si>
    <t>Djibouti</t>
  </si>
  <si>
    <t>Costa Rica</t>
  </si>
  <si>
    <t>Middle East and North Africa</t>
  </si>
  <si>
    <t>Syria</t>
  </si>
  <si>
    <t>Brunei</t>
  </si>
  <si>
    <t>Niger</t>
  </si>
  <si>
    <t>Azerbaijan</t>
  </si>
  <si>
    <t>Slovakia</t>
  </si>
  <si>
    <t>Comoros</t>
  </si>
  <si>
    <t>Iceland</t>
  </si>
  <si>
    <t>Macedonia</t>
  </si>
  <si>
    <t>Mauritania</t>
  </si>
  <si>
    <t>Albania</t>
  </si>
  <si>
    <t>Lesotho</t>
  </si>
  <si>
    <t>Saudi Arabia</t>
  </si>
  <si>
    <t>Sierra Leone</t>
  </si>
  <si>
    <t>Cote d'Ivoire</t>
  </si>
  <si>
    <t>Fiji</t>
  </si>
  <si>
    <t>Austria</t>
  </si>
  <si>
    <t>United Kingdom</t>
  </si>
  <si>
    <t>San Marino</t>
  </si>
  <si>
    <t>Libya</t>
  </si>
  <si>
    <t>Haiti</t>
  </si>
  <si>
    <t>Gabon</t>
  </si>
  <si>
    <t>Belize</t>
  </si>
  <si>
    <t>Lithuania</t>
  </si>
  <si>
    <t>Madagascar</t>
  </si>
  <si>
    <t>Democratic Republic of the Congo</t>
  </si>
  <si>
    <t>Pakistan</t>
  </si>
  <si>
    <t>North America</t>
  </si>
  <si>
    <t>Mexico</t>
  </si>
  <si>
    <t>Federated States of Micronesia</t>
  </si>
  <si>
    <t>Laos</t>
  </si>
  <si>
    <t>Monaco</t>
  </si>
  <si>
    <t xml:space="preserve">Samoa </t>
  </si>
  <si>
    <t>Spain</t>
  </si>
  <si>
    <t>Lebanon</t>
  </si>
  <si>
    <t>Iran</t>
  </si>
  <si>
    <t>Zambia</t>
  </si>
  <si>
    <t>Kenya</t>
  </si>
  <si>
    <t>Kuwait</t>
  </si>
  <si>
    <t>Slovenia</t>
  </si>
  <si>
    <t>Romania</t>
  </si>
  <si>
    <t>Nicaragua</t>
  </si>
  <si>
    <t>Malaysia</t>
  </si>
  <si>
    <t>Mozambique</t>
  </si>
  <si>
    <t>Row Labels</t>
  </si>
  <si>
    <t>Grand Total</t>
  </si>
  <si>
    <t>Sum of Total Revenue</t>
  </si>
  <si>
    <t>Sum of Total Profit</t>
  </si>
  <si>
    <t>Feb</t>
  </si>
  <si>
    <t>May</t>
  </si>
  <si>
    <t>Jan</t>
  </si>
  <si>
    <t>Mar</t>
  </si>
  <si>
    <t>Apr</t>
  </si>
  <si>
    <t>Jun</t>
  </si>
  <si>
    <t>Jul</t>
  </si>
  <si>
    <t>Aug</t>
  </si>
  <si>
    <t>Sep</t>
  </si>
  <si>
    <t>Oct</t>
  </si>
  <si>
    <t>Nov</t>
  </si>
  <si>
    <t>Dec</t>
  </si>
  <si>
    <t>q</t>
  </si>
  <si>
    <t>Count of Order ID</t>
  </si>
  <si>
    <t>Total Profits</t>
  </si>
  <si>
    <t>Count</t>
  </si>
  <si>
    <t>Total</t>
  </si>
  <si>
    <t>Total Transactions</t>
  </si>
  <si>
    <t>Highest Profit by Country</t>
  </si>
  <si>
    <t>Highest Revenue by Country</t>
  </si>
  <si>
    <t>Top Item</t>
  </si>
  <si>
    <t>Item</t>
  </si>
  <si>
    <t>Highest Profits generating Channel</t>
  </si>
  <si>
    <t>Highest Sale on any particular day</t>
  </si>
  <si>
    <t>2010</t>
  </si>
  <si>
    <t>2011</t>
  </si>
  <si>
    <t>2012</t>
  </si>
  <si>
    <t>2013</t>
  </si>
  <si>
    <t>2014</t>
  </si>
  <si>
    <t>2015</t>
  </si>
  <si>
    <t>2016</t>
  </si>
  <si>
    <t>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</si>
</sst>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 &quot;₹&quot;\ * #,##0.00_ ;_ &quot;₹&quot;\ * \-#,##0.00_ ;_ &quot;₹&quot;\ * &quot;-&quot;??_ ;_ @_ "/>
    <numFmt numFmtId="43" formatCode="_ * #,##0.00_ ;_ * \-#,##0.00_ ;_ * &quot;-&quot;??_ ;_ @_ "/>
    <numFmt numFmtId="164" formatCode="_-[$$-409]* #,##0_ ;_-[$$-409]* \-#,##0\ ;_-[$$-409]* &quot;-&quot;??_ ;_-@_ "/>
    <numFmt numFmtId="165" formatCode="_-[$$-409]* #,##0.00_ ;_-[$$-409]* \-#,##0.00\ ;_-[$$-409]* &quot;-&quot;??_ ;_-@_ "/>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79998168889431442"/>
        <bgColor theme="4" tint="0.79998168889431442"/>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style="thin">
        <color theme="4" tint="0.39997558519241921"/>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cellStyleXfs>
  <cellXfs count="16">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NumberFormat="1"/>
    <xf numFmtId="14" fontId="0" fillId="0" borderId="0" xfId="0" applyNumberFormat="1" applyAlignment="1">
      <alignment horizontal="left"/>
    </xf>
    <xf numFmtId="0" fontId="13" fillId="33" borderId="10" xfId="0" applyFont="1" applyFill="1" applyBorder="1"/>
    <xf numFmtId="0" fontId="0" fillId="34" borderId="10" xfId="0" applyFont="1" applyFill="1" applyBorder="1"/>
    <xf numFmtId="0" fontId="0" fillId="0" borderId="10" xfId="0" applyFont="1" applyBorder="1"/>
    <xf numFmtId="0" fontId="0" fillId="0" borderId="0" xfId="0" applyFont="1" applyFill="1" applyBorder="1"/>
    <xf numFmtId="0" fontId="16" fillId="0" borderId="0" xfId="0" applyFont="1"/>
    <xf numFmtId="164" fontId="0" fillId="0" borderId="0" xfId="42" applyNumberFormat="1" applyFont="1"/>
    <xf numFmtId="164" fontId="0" fillId="0" borderId="0" xfId="43" applyNumberFormat="1" applyFont="1"/>
    <xf numFmtId="0" fontId="13" fillId="9" borderId="0" xfId="18" applyFont="1"/>
    <xf numFmtId="165" fontId="0" fillId="0" borderId="0" xfId="0" applyNumberFormat="1"/>
    <xf numFmtId="0" fontId="13" fillId="9" borderId="10" xfId="18" applyFont="1" applyBorder="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numFmt numFmtId="165" formatCode="_-[$$-409]* #,##0.00_ ;_-[$$-409]* \-#,##0.00\ ;_-[$$-409]* &quot;-&quot;??_ ;_-@_ "/>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23" Type="http://schemas.microsoft.com/office/2006/relationships/vbaProject" Target="vbaProject.bin"/><Relationship Id="rId10" Type="http://schemas.openxmlformats.org/officeDocument/2006/relationships/pivotCacheDefinition" Target="pivotCache/pivotCacheDefinition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[100 Sales Records.xlsm]Top 5 coun.!PivotTable4</c:name>
    <c:fmtId val="13"/>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'Top 5 coun.'!$B$1</c:f>
              <c:strCache>
                <c:ptCount val="1"/>
                <c:pt idx="0">
                  <c:v>Sum of Total Profit</c:v>
                </c:pt>
              </c:strCache>
            </c:strRef>
          </c:tx>
          <c:spPr>
            <a:solidFill>
              <a:schemeClr val="accent1"/>
            </a:solidFill>
            <a:ln>
              <a:noFill/>
            </a:ln>
            <a:effectLst/>
            <a:sp3d/>
          </c:spPr>
          <c:invertIfNegative val="0"/>
          <c:cat>
            <c:strRef>
              <c:f>'Top 5 coun.'!$A$2:$A$7</c:f>
              <c:strCache>
                <c:ptCount val="5"/>
                <c:pt idx="0">
                  <c:v>Djibouti</c:v>
                </c:pt>
                <c:pt idx="1">
                  <c:v>Myanmar</c:v>
                </c:pt>
                <c:pt idx="2">
                  <c:v>Pakistan</c:v>
                </c:pt>
                <c:pt idx="3">
                  <c:v>Samoa </c:v>
                </c:pt>
                <c:pt idx="4">
                  <c:v>Honduras</c:v>
                </c:pt>
              </c:strCache>
            </c:strRef>
          </c:cat>
          <c:val>
            <c:numRef>
              <c:f>'Top 5 coun.'!$B$2:$B$7</c:f>
              <c:numCache>
                <c:formatCode>General</c:formatCode>
                <c:ptCount val="5"/>
                <c:pt idx="0">
                  <c:v>2425317.87</c:v>
                </c:pt>
                <c:pt idx="1">
                  <c:v>1802771.7</c:v>
                </c:pt>
                <c:pt idx="2">
                  <c:v>1719922.04</c:v>
                </c:pt>
                <c:pt idx="3">
                  <c:v>1678540.98</c:v>
                </c:pt>
                <c:pt idx="4">
                  <c:v>1609947.52</c:v>
                </c:pt>
              </c:numCache>
            </c:numRef>
          </c:val>
          <c:extLst>
            <c:ext xmlns:c16="http://schemas.microsoft.com/office/drawing/2014/chart" uri="{C3380CC4-5D6E-409C-BE32-E72D297353CC}">
              <c16:uniqueId val="{00000000-ACE5-45FA-92B5-9A0D1A22E9D5}"/>
            </c:ext>
          </c:extLst>
        </c:ser>
        <c:ser>
          <c:idx val="1"/>
          <c:order val="1"/>
          <c:tx>
            <c:strRef>
              <c:f>'Top 5 coun.'!$C$1</c:f>
              <c:strCache>
                <c:ptCount val="1"/>
                <c:pt idx="0">
                  <c:v>Sum of Total Revenue</c:v>
                </c:pt>
              </c:strCache>
            </c:strRef>
          </c:tx>
          <c:spPr>
            <a:solidFill>
              <a:schemeClr val="accent2"/>
            </a:solidFill>
            <a:ln>
              <a:noFill/>
            </a:ln>
            <a:effectLst/>
            <a:sp3d/>
          </c:spPr>
          <c:invertIfNegative val="0"/>
          <c:cat>
            <c:strRef>
              <c:f>'Top 5 coun.'!$A$2:$A$7</c:f>
              <c:strCache>
                <c:ptCount val="5"/>
                <c:pt idx="0">
                  <c:v>Djibouti</c:v>
                </c:pt>
                <c:pt idx="1">
                  <c:v>Myanmar</c:v>
                </c:pt>
                <c:pt idx="2">
                  <c:v>Pakistan</c:v>
                </c:pt>
                <c:pt idx="3">
                  <c:v>Samoa </c:v>
                </c:pt>
                <c:pt idx="4">
                  <c:v>Honduras</c:v>
                </c:pt>
              </c:strCache>
            </c:strRef>
          </c:cat>
          <c:val>
            <c:numRef>
              <c:f>'Top 5 coun.'!$C$2:$C$7</c:f>
              <c:numCache>
                <c:formatCode>General</c:formatCode>
                <c:ptCount val="5"/>
                <c:pt idx="0">
                  <c:v>6052890.8600000003</c:v>
                </c:pt>
                <c:pt idx="1">
                  <c:v>6161257.9000000004</c:v>
                </c:pt>
                <c:pt idx="2">
                  <c:v>4324782.4000000004</c:v>
                </c:pt>
                <c:pt idx="3">
                  <c:v>4220728.8</c:v>
                </c:pt>
                <c:pt idx="4">
                  <c:v>6336545.4800000004</c:v>
                </c:pt>
              </c:numCache>
            </c:numRef>
          </c:val>
          <c:extLst>
            <c:ext xmlns:c16="http://schemas.microsoft.com/office/drawing/2014/chart" uri="{C3380CC4-5D6E-409C-BE32-E72D297353CC}">
              <c16:uniqueId val="{00000001-ACE5-45FA-92B5-9A0D1A22E9D5}"/>
            </c:ext>
          </c:extLst>
        </c:ser>
        <c:dLbls>
          <c:showLegendKey val="0"/>
          <c:showVal val="0"/>
          <c:showCatName val="0"/>
          <c:showSerName val="0"/>
          <c:showPercent val="0"/>
          <c:showBubbleSize val="0"/>
        </c:dLbls>
        <c:gapWidth val="150"/>
        <c:shape val="box"/>
        <c:axId val="1299346160"/>
        <c:axId val="1299369872"/>
        <c:axId val="0"/>
      </c:bar3DChart>
      <c:catAx>
        <c:axId val="12993461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369872"/>
        <c:crosses val="autoZero"/>
        <c:auto val="1"/>
        <c:lblAlgn val="ctr"/>
        <c:lblOffset val="100"/>
        <c:noMultiLvlLbl val="0"/>
      </c:catAx>
      <c:valAx>
        <c:axId val="12993698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346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[100 Sales Records.xlsm]Top 5 coun.!PivotTable4</c:name>
    <c:fmtId val="1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'Top 5 coun.'!$B$1</c:f>
              <c:strCache>
                <c:ptCount val="1"/>
                <c:pt idx="0">
                  <c:v>Sum of Total Profit</c:v>
                </c:pt>
              </c:strCache>
            </c:strRef>
          </c:tx>
          <c:spPr>
            <a:solidFill>
              <a:schemeClr val="accent1"/>
            </a:solidFill>
            <a:ln>
              <a:noFill/>
            </a:ln>
            <a:effectLst/>
            <a:sp3d/>
          </c:spPr>
          <c:invertIfNegative val="0"/>
          <c:cat>
            <c:strRef>
              <c:f>'Top 5 coun.'!$A$2:$A$7</c:f>
              <c:strCache>
                <c:ptCount val="5"/>
                <c:pt idx="0">
                  <c:v>Djibouti</c:v>
                </c:pt>
                <c:pt idx="1">
                  <c:v>Myanmar</c:v>
                </c:pt>
                <c:pt idx="2">
                  <c:v>Pakistan</c:v>
                </c:pt>
                <c:pt idx="3">
                  <c:v>Samoa </c:v>
                </c:pt>
                <c:pt idx="4">
                  <c:v>Honduras</c:v>
                </c:pt>
              </c:strCache>
            </c:strRef>
          </c:cat>
          <c:val>
            <c:numRef>
              <c:f>'Top 5 coun.'!$B$2:$B$7</c:f>
              <c:numCache>
                <c:formatCode>General</c:formatCode>
                <c:ptCount val="5"/>
                <c:pt idx="0">
                  <c:v>2425317.87</c:v>
                </c:pt>
                <c:pt idx="1">
                  <c:v>1802771.7</c:v>
                </c:pt>
                <c:pt idx="2">
                  <c:v>1719922.04</c:v>
                </c:pt>
                <c:pt idx="3">
                  <c:v>1678540.98</c:v>
                </c:pt>
                <c:pt idx="4">
                  <c:v>1609947.52</c:v>
                </c:pt>
              </c:numCache>
            </c:numRef>
          </c:val>
          <c:extLst>
            <c:ext xmlns:c16="http://schemas.microsoft.com/office/drawing/2014/chart" uri="{C3380CC4-5D6E-409C-BE32-E72D297353CC}">
              <c16:uniqueId val="{00000000-2FAB-48EA-872B-7BF19B9AC7B2}"/>
            </c:ext>
          </c:extLst>
        </c:ser>
        <c:ser>
          <c:idx val="1"/>
          <c:order val="1"/>
          <c:tx>
            <c:strRef>
              <c:f>'Top 5 coun.'!$C$1</c:f>
              <c:strCache>
                <c:ptCount val="1"/>
                <c:pt idx="0">
                  <c:v>Sum of Total Revenue</c:v>
                </c:pt>
              </c:strCache>
            </c:strRef>
          </c:tx>
          <c:spPr>
            <a:solidFill>
              <a:schemeClr val="accent2"/>
            </a:solidFill>
            <a:ln>
              <a:noFill/>
            </a:ln>
            <a:effectLst/>
            <a:sp3d/>
          </c:spPr>
          <c:invertIfNegative val="0"/>
          <c:cat>
            <c:strRef>
              <c:f>'Top 5 coun.'!$A$2:$A$7</c:f>
              <c:strCache>
                <c:ptCount val="5"/>
                <c:pt idx="0">
                  <c:v>Djibouti</c:v>
                </c:pt>
                <c:pt idx="1">
                  <c:v>Myanmar</c:v>
                </c:pt>
                <c:pt idx="2">
                  <c:v>Pakistan</c:v>
                </c:pt>
                <c:pt idx="3">
                  <c:v>Samoa </c:v>
                </c:pt>
                <c:pt idx="4">
                  <c:v>Honduras</c:v>
                </c:pt>
              </c:strCache>
            </c:strRef>
          </c:cat>
          <c:val>
            <c:numRef>
              <c:f>'Top 5 coun.'!$C$2:$C$7</c:f>
              <c:numCache>
                <c:formatCode>General</c:formatCode>
                <c:ptCount val="5"/>
                <c:pt idx="0">
                  <c:v>6052890.8600000003</c:v>
                </c:pt>
                <c:pt idx="1">
                  <c:v>6161257.9000000004</c:v>
                </c:pt>
                <c:pt idx="2">
                  <c:v>4324782.4000000004</c:v>
                </c:pt>
                <c:pt idx="3">
                  <c:v>4220728.8</c:v>
                </c:pt>
                <c:pt idx="4">
                  <c:v>6336545.4800000004</c:v>
                </c:pt>
              </c:numCache>
            </c:numRef>
          </c:val>
          <c:extLst>
            <c:ext xmlns:c16="http://schemas.microsoft.com/office/drawing/2014/chart" uri="{C3380CC4-5D6E-409C-BE32-E72D297353CC}">
              <c16:uniqueId val="{00000001-2FAB-48EA-872B-7BF19B9AC7B2}"/>
            </c:ext>
          </c:extLst>
        </c:ser>
        <c:dLbls>
          <c:showLegendKey val="0"/>
          <c:showVal val="0"/>
          <c:showCatName val="0"/>
          <c:showSerName val="0"/>
          <c:showPercent val="0"/>
          <c:showBubbleSize val="0"/>
        </c:dLbls>
        <c:gapWidth val="150"/>
        <c:shape val="box"/>
        <c:axId val="1299356144"/>
        <c:axId val="1299354064"/>
        <c:axId val="0"/>
      </c:bar3DChart>
      <c:catAx>
        <c:axId val="12993561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354064"/>
        <c:crosses val="autoZero"/>
        <c:auto val="1"/>
        <c:lblAlgn val="ctr"/>
        <c:lblOffset val="100"/>
        <c:noMultiLvlLbl val="0"/>
      </c:catAx>
      <c:valAx>
        <c:axId val="12993540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3561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[100 Sales Records.xlsm]Pie Chart!PivotTable1</c:name>
    <c:fmtId val="10"/>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8790219237301218"/>
          <c:y val="0.18589158824659113"/>
          <c:w val="0.49984908136482942"/>
          <c:h val="0.69084832383756911"/>
        </c:manualLayout>
      </c:layout>
      <c:pieChart>
        <c:varyColors val="1"/>
        <c:ser>
          <c:idx val="0"/>
          <c:order val="0"/>
          <c:tx>
            <c:strRef>
              <c:f>'Pie Chart'!$B$1</c:f>
              <c:strCache>
                <c:ptCount val="1"/>
                <c:pt idx="0">
                  <c:v>Sum of Total Profit</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152-48CF-B157-FC544B932DA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152-48CF-B157-FC544B932DA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152-48CF-B157-FC544B932DA7}"/>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E152-48CF-B157-FC544B932DA7}"/>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E152-48CF-B157-FC544B932DA7}"/>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E152-48CF-B157-FC544B932DA7}"/>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E152-48CF-B157-FC544B932DA7}"/>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E152-48CF-B157-FC544B932DA7}"/>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E152-48CF-B157-FC544B932DA7}"/>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E152-48CF-B157-FC544B932DA7}"/>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E152-48CF-B157-FC544B932DA7}"/>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E152-48CF-B157-FC544B932DA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 Chart'!$A$2:$A$14</c:f>
              <c:strCache>
                <c:ptCount val="12"/>
                <c:pt idx="0">
                  <c:v>Baby Food</c:v>
                </c:pt>
                <c:pt idx="1">
                  <c:v>Beverages</c:v>
                </c:pt>
                <c:pt idx="2">
                  <c:v>Cereal</c:v>
                </c:pt>
                <c:pt idx="3">
                  <c:v>Clothes</c:v>
                </c:pt>
                <c:pt idx="4">
                  <c:v>Cosmetics</c:v>
                </c:pt>
                <c:pt idx="5">
                  <c:v>Fruits</c:v>
                </c:pt>
                <c:pt idx="6">
                  <c:v>Household</c:v>
                </c:pt>
                <c:pt idx="7">
                  <c:v>Meat</c:v>
                </c:pt>
                <c:pt idx="8">
                  <c:v>Office Supplies</c:v>
                </c:pt>
                <c:pt idx="9">
                  <c:v>Personal Care</c:v>
                </c:pt>
                <c:pt idx="10">
                  <c:v>Snacks</c:v>
                </c:pt>
                <c:pt idx="11">
                  <c:v>Vegetables</c:v>
                </c:pt>
              </c:strCache>
            </c:strRef>
          </c:cat>
          <c:val>
            <c:numRef>
              <c:f>'Pie Chart'!$B$2:$B$14</c:f>
              <c:numCache>
                <c:formatCode>General</c:formatCode>
                <c:ptCount val="12"/>
                <c:pt idx="0">
                  <c:v>3886643.7</c:v>
                </c:pt>
                <c:pt idx="1">
                  <c:v>888047.27999999991</c:v>
                </c:pt>
                <c:pt idx="2">
                  <c:v>2292443.4299999997</c:v>
                </c:pt>
                <c:pt idx="3">
                  <c:v>5233334.4000000004</c:v>
                </c:pt>
                <c:pt idx="4">
                  <c:v>14556048.66</c:v>
                </c:pt>
                <c:pt idx="5">
                  <c:v>120495.18</c:v>
                </c:pt>
                <c:pt idx="6">
                  <c:v>7412605.7100000009</c:v>
                </c:pt>
                <c:pt idx="7">
                  <c:v>610610</c:v>
                </c:pt>
                <c:pt idx="8">
                  <c:v>5929583.75</c:v>
                </c:pt>
                <c:pt idx="9">
                  <c:v>1220622.48</c:v>
                </c:pt>
                <c:pt idx="10">
                  <c:v>751944.18</c:v>
                </c:pt>
                <c:pt idx="11">
                  <c:v>1265819.6300000001</c:v>
                </c:pt>
              </c:numCache>
            </c:numRef>
          </c:val>
          <c:extLst>
            <c:ext xmlns:c16="http://schemas.microsoft.com/office/drawing/2014/chart" uri="{C3380CC4-5D6E-409C-BE32-E72D297353CC}">
              <c16:uniqueId val="{00000000-B706-4D7B-B444-EB3183315E79}"/>
            </c:ext>
          </c:extLst>
        </c:ser>
        <c:ser>
          <c:idx val="1"/>
          <c:order val="1"/>
          <c:tx>
            <c:strRef>
              <c:f>'Pie Chart'!$C$1</c:f>
              <c:strCache>
                <c:ptCount val="1"/>
                <c:pt idx="0">
                  <c:v>Sum of Total Revenue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E152-48CF-B157-FC544B932DA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E152-48CF-B157-FC544B932DA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E152-48CF-B157-FC544B932DA7}"/>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E152-48CF-B157-FC544B932DA7}"/>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E152-48CF-B157-FC544B932DA7}"/>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E152-48CF-B157-FC544B932DA7}"/>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E152-48CF-B157-FC544B932DA7}"/>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E152-48CF-B157-FC544B932DA7}"/>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E152-48CF-B157-FC544B932DA7}"/>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E152-48CF-B157-FC544B932DA7}"/>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E152-48CF-B157-FC544B932DA7}"/>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E152-48CF-B157-FC544B932DA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 Chart'!$A$2:$A$14</c:f>
              <c:strCache>
                <c:ptCount val="12"/>
                <c:pt idx="0">
                  <c:v>Baby Food</c:v>
                </c:pt>
                <c:pt idx="1">
                  <c:v>Beverages</c:v>
                </c:pt>
                <c:pt idx="2">
                  <c:v>Cereal</c:v>
                </c:pt>
                <c:pt idx="3">
                  <c:v>Clothes</c:v>
                </c:pt>
                <c:pt idx="4">
                  <c:v>Cosmetics</c:v>
                </c:pt>
                <c:pt idx="5">
                  <c:v>Fruits</c:v>
                </c:pt>
                <c:pt idx="6">
                  <c:v>Household</c:v>
                </c:pt>
                <c:pt idx="7">
                  <c:v>Meat</c:v>
                </c:pt>
                <c:pt idx="8">
                  <c:v>Office Supplies</c:v>
                </c:pt>
                <c:pt idx="9">
                  <c:v>Personal Care</c:v>
                </c:pt>
                <c:pt idx="10">
                  <c:v>Snacks</c:v>
                </c:pt>
                <c:pt idx="11">
                  <c:v>Vegetables</c:v>
                </c:pt>
              </c:strCache>
            </c:strRef>
          </c:cat>
          <c:val>
            <c:numRef>
              <c:f>'Pie Chart'!$C$2:$C$14</c:f>
              <c:numCache>
                <c:formatCode>General</c:formatCode>
                <c:ptCount val="12"/>
                <c:pt idx="0">
                  <c:v>10350327.6</c:v>
                </c:pt>
                <c:pt idx="1">
                  <c:v>2690794.6</c:v>
                </c:pt>
                <c:pt idx="2">
                  <c:v>5322898.9000000004</c:v>
                </c:pt>
                <c:pt idx="3">
                  <c:v>7787292.799999998</c:v>
                </c:pt>
                <c:pt idx="4">
                  <c:v>36601509.600000001</c:v>
                </c:pt>
                <c:pt idx="5">
                  <c:v>466481.34</c:v>
                </c:pt>
                <c:pt idx="6">
                  <c:v>29889712.289999995</c:v>
                </c:pt>
                <c:pt idx="7">
                  <c:v>4503675.75</c:v>
                </c:pt>
                <c:pt idx="8">
                  <c:v>30585380.07</c:v>
                </c:pt>
                <c:pt idx="9">
                  <c:v>3980904.8400000003</c:v>
                </c:pt>
                <c:pt idx="10">
                  <c:v>2080733.46</c:v>
                </c:pt>
                <c:pt idx="11">
                  <c:v>3089057.06</c:v>
                </c:pt>
              </c:numCache>
            </c:numRef>
          </c:val>
          <c:extLst>
            <c:ext xmlns:c16="http://schemas.microsoft.com/office/drawing/2014/chart" uri="{C3380CC4-5D6E-409C-BE32-E72D297353CC}">
              <c16:uniqueId val="{00000001-B706-4D7B-B444-EB3183315E79}"/>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88243476918326402"/>
          <c:y val="0.10597566310308773"/>
          <c:w val="0.11756523081673614"/>
          <c:h val="0.6859804109852122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[100 Sales Records.xlsm]Order Priority!PivotTable2</c:name>
    <c:fmtId val="1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Order</a:t>
            </a:r>
            <a:r>
              <a:rPr lang="en-US" baseline="0"/>
              <a:t> Priority</a:t>
            </a:r>
            <a:endParaRPr lang="en-US"/>
          </a:p>
        </c:rich>
      </c:tx>
      <c:layout>
        <c:manualLayout>
          <c:xMode val="edge"/>
          <c:yMode val="edge"/>
          <c:x val="0.24395122484689413"/>
          <c:y val="4.064596092155147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15454286964129485"/>
          <c:y val="0.17495443277923592"/>
          <c:w val="0.47424781277340333"/>
          <c:h val="0.79041302128900559"/>
        </c:manualLayout>
      </c:layout>
      <c:pieChart>
        <c:varyColors val="1"/>
        <c:ser>
          <c:idx val="0"/>
          <c:order val="0"/>
          <c:tx>
            <c:strRef>
              <c:f>'Order Priority'!$B$1</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9B9-4332-BE34-E20B9D8BF445}"/>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9B9-4332-BE34-E20B9D8BF445}"/>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79B9-4332-BE34-E20B9D8BF445}"/>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79B9-4332-BE34-E20B9D8BF44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'Order Priority'!$A$2:$A$6</c:f>
              <c:strCache>
                <c:ptCount val="4"/>
                <c:pt idx="0">
                  <c:v>C</c:v>
                </c:pt>
                <c:pt idx="1">
                  <c:v>H</c:v>
                </c:pt>
                <c:pt idx="2">
                  <c:v>L</c:v>
                </c:pt>
                <c:pt idx="3">
                  <c:v>M</c:v>
                </c:pt>
              </c:strCache>
            </c:strRef>
          </c:cat>
          <c:val>
            <c:numRef>
              <c:f>'Order Priority'!$B$2:$B$6</c:f>
              <c:numCache>
                <c:formatCode>General</c:formatCode>
                <c:ptCount val="4"/>
                <c:pt idx="0">
                  <c:v>6748328.4599999981</c:v>
                </c:pt>
                <c:pt idx="1">
                  <c:v>16891599.580000002</c:v>
                </c:pt>
                <c:pt idx="2">
                  <c:v>10858727.860000003</c:v>
                </c:pt>
                <c:pt idx="3">
                  <c:v>9669542.5</c:v>
                </c:pt>
              </c:numCache>
            </c:numRef>
          </c:val>
          <c:extLst>
            <c:ext xmlns:c16="http://schemas.microsoft.com/office/drawing/2014/chart" uri="{C3380CC4-5D6E-409C-BE32-E72D297353CC}">
              <c16:uniqueId val="{00000000-721E-4A9E-960D-237601D6F898}"/>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[100 Sales Records.xlsm]Sheet2!PivotTable1</c:name>
    <c:fmtId val="2"/>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Sheet2!$B$1</c:f>
              <c:strCache>
                <c:ptCount val="1"/>
                <c:pt idx="0">
                  <c:v>Sum of Total Revenue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trendline>
            <c:spPr>
              <a:ln w="19050" cap="rnd">
                <a:solidFill>
                  <a:schemeClr val="accent1"/>
                </a:solidFill>
              </a:ln>
              <a:effectLst/>
            </c:spPr>
            <c:trendlineType val="linear"/>
            <c:forward val="2"/>
            <c:dispRSqr val="0"/>
            <c:dispEq val="0"/>
          </c:trendline>
          <c:cat>
            <c:strRef>
              <c:f>Sheet2!$A$2:$A$10</c:f>
              <c:strCache>
                <c:ptCount val="8"/>
                <c:pt idx="0">
                  <c:v>2010</c:v>
                </c:pt>
                <c:pt idx="1">
                  <c:v>2011</c:v>
                </c:pt>
                <c:pt idx="2">
                  <c:v>2012</c:v>
                </c:pt>
                <c:pt idx="3">
                  <c:v>2013</c:v>
                </c:pt>
                <c:pt idx="4">
                  <c:v>2014</c:v>
                </c:pt>
                <c:pt idx="5">
                  <c:v>2015</c:v>
                </c:pt>
                <c:pt idx="6">
                  <c:v>2016</c:v>
                </c:pt>
                <c:pt idx="7">
                  <c:v>2017</c:v>
                </c:pt>
              </c:strCache>
            </c:strRef>
          </c:cat>
          <c:val>
            <c:numRef>
              <c:f>Sheet2!$B$2:$B$10</c:f>
              <c:numCache>
                <c:formatCode>_-[$$-409]* #,##0.00_ ;_-[$$-409]* \-#,##0.00\ ;_-[$$-409]* "-"??_ ;_-@_ </c:formatCode>
                <c:ptCount val="8"/>
                <c:pt idx="0">
                  <c:v>19186024.920000002</c:v>
                </c:pt>
                <c:pt idx="1">
                  <c:v>11129166.07</c:v>
                </c:pt>
                <c:pt idx="2">
                  <c:v>31898644.52</c:v>
                </c:pt>
                <c:pt idx="3">
                  <c:v>20330448.66</c:v>
                </c:pt>
                <c:pt idx="4">
                  <c:v>16630214.430000002</c:v>
                </c:pt>
                <c:pt idx="5">
                  <c:v>12427982.860000001</c:v>
                </c:pt>
                <c:pt idx="6">
                  <c:v>12372867.219999999</c:v>
                </c:pt>
                <c:pt idx="7">
                  <c:v>13373419.629999999</c:v>
                </c:pt>
              </c:numCache>
            </c:numRef>
          </c:val>
          <c:extLst>
            <c:ext xmlns:c16="http://schemas.microsoft.com/office/drawing/2014/chart" uri="{C3380CC4-5D6E-409C-BE32-E72D297353CC}">
              <c16:uniqueId val="{00000000-C534-4A4F-BC31-78CD89A85D8B}"/>
            </c:ext>
          </c:extLst>
        </c:ser>
        <c:dLbls>
          <c:showLegendKey val="0"/>
          <c:showVal val="0"/>
          <c:showCatName val="0"/>
          <c:showSerName val="0"/>
          <c:showPercent val="0"/>
          <c:showBubbleSize val="0"/>
        </c:dLbls>
        <c:gapWidth val="150"/>
        <c:axId val="1775755087"/>
        <c:axId val="1775755503"/>
      </c:barChart>
      <c:lineChart>
        <c:grouping val="standard"/>
        <c:varyColors val="0"/>
        <c:ser>
          <c:idx val="1"/>
          <c:order val="1"/>
          <c:tx>
            <c:strRef>
              <c:f>Sheet2!$C$1</c:f>
              <c:strCache>
                <c:ptCount val="1"/>
                <c:pt idx="0">
                  <c:v>Sum of Total Profit</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trendline>
            <c:spPr>
              <a:ln w="19050" cap="rnd">
                <a:solidFill>
                  <a:schemeClr val="accent2"/>
                </a:solidFill>
              </a:ln>
              <a:effectLst/>
            </c:spPr>
            <c:trendlineType val="linear"/>
            <c:dispRSqr val="0"/>
            <c:dispEq val="0"/>
          </c:trendline>
          <c:cat>
            <c:strRef>
              <c:f>Sheet2!$A$2:$A$10</c:f>
              <c:strCache>
                <c:ptCount val="8"/>
                <c:pt idx="0">
                  <c:v>2010</c:v>
                </c:pt>
                <c:pt idx="1">
                  <c:v>2011</c:v>
                </c:pt>
                <c:pt idx="2">
                  <c:v>2012</c:v>
                </c:pt>
                <c:pt idx="3">
                  <c:v>2013</c:v>
                </c:pt>
                <c:pt idx="4">
                  <c:v>2014</c:v>
                </c:pt>
                <c:pt idx="5">
                  <c:v>2015</c:v>
                </c:pt>
                <c:pt idx="6">
                  <c:v>2016</c:v>
                </c:pt>
                <c:pt idx="7">
                  <c:v>2017</c:v>
                </c:pt>
              </c:strCache>
            </c:strRef>
          </c:cat>
          <c:val>
            <c:numRef>
              <c:f>Sheet2!$C$2:$C$10</c:f>
              <c:numCache>
                <c:formatCode>_-[$$-409]* #,##0.00_ ;_-[$$-409]* \-#,##0.00\ ;_-[$$-409]* "-"??_ ;_-@_ </c:formatCode>
                <c:ptCount val="8"/>
                <c:pt idx="0">
                  <c:v>6629567.4299999997</c:v>
                </c:pt>
                <c:pt idx="1">
                  <c:v>2741008.2300000004</c:v>
                </c:pt>
                <c:pt idx="2">
                  <c:v>9213010.120000001</c:v>
                </c:pt>
                <c:pt idx="3">
                  <c:v>6715420.0399999991</c:v>
                </c:pt>
                <c:pt idx="4">
                  <c:v>5879461.6799999997</c:v>
                </c:pt>
                <c:pt idx="5">
                  <c:v>3996539.4400000004</c:v>
                </c:pt>
                <c:pt idx="6">
                  <c:v>4903838.01</c:v>
                </c:pt>
                <c:pt idx="7">
                  <c:v>4089353.45</c:v>
                </c:pt>
              </c:numCache>
            </c:numRef>
          </c:val>
          <c:smooth val="0"/>
          <c:extLst>
            <c:ext xmlns:c16="http://schemas.microsoft.com/office/drawing/2014/chart" uri="{C3380CC4-5D6E-409C-BE32-E72D297353CC}">
              <c16:uniqueId val="{00000001-C534-4A4F-BC31-78CD89A85D8B}"/>
            </c:ext>
          </c:extLst>
        </c:ser>
        <c:dLbls>
          <c:showLegendKey val="0"/>
          <c:showVal val="0"/>
          <c:showCatName val="0"/>
          <c:showSerName val="0"/>
          <c:showPercent val="0"/>
          <c:showBubbleSize val="0"/>
        </c:dLbls>
        <c:marker val="1"/>
        <c:smooth val="0"/>
        <c:axId val="1775755087"/>
        <c:axId val="1775755503"/>
      </c:lineChart>
      <c:catAx>
        <c:axId val="177575508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5755503"/>
        <c:crosses val="autoZero"/>
        <c:auto val="1"/>
        <c:lblAlgn val="ctr"/>
        <c:lblOffset val="100"/>
        <c:noMultiLvlLbl val="0"/>
      </c:catAx>
      <c:valAx>
        <c:axId val="1775755503"/>
        <c:scaling>
          <c:orientation val="minMax"/>
        </c:scaling>
        <c:delete val="0"/>
        <c:axPos val="l"/>
        <c:majorGridlines>
          <c:spPr>
            <a:ln w="9525" cap="flat" cmpd="sng" algn="ctr">
              <a:solidFill>
                <a:schemeClr val="tx1">
                  <a:lumMod val="15000"/>
                  <a:lumOff val="85000"/>
                </a:schemeClr>
              </a:soli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575508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[100 Sales Records.xlsm]Pie Chart!PivotTable1</c:name>
    <c:fmtId val="1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Sum of Profit by Item type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12858846688281611"/>
          <c:y val="0.19605418987260737"/>
          <c:w val="0.49984908136482942"/>
          <c:h val="0.69084832383756911"/>
        </c:manualLayout>
      </c:layout>
      <c:pieChart>
        <c:varyColors val="1"/>
        <c:ser>
          <c:idx val="0"/>
          <c:order val="0"/>
          <c:tx>
            <c:strRef>
              <c:f>'Pie Chart'!$B$1</c:f>
              <c:strCache>
                <c:ptCount val="1"/>
                <c:pt idx="0">
                  <c:v>Sum of Total Profit</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B816-4774-8204-450EDCF2EB4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816-4774-8204-450EDCF2EB4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B816-4774-8204-450EDCF2EB4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B816-4774-8204-450EDCF2EB4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B816-4774-8204-450EDCF2EB40}"/>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B816-4774-8204-450EDCF2EB40}"/>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B816-4774-8204-450EDCF2EB40}"/>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B816-4774-8204-450EDCF2EB40}"/>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B816-4774-8204-450EDCF2EB40}"/>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B816-4774-8204-450EDCF2EB40}"/>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B816-4774-8204-450EDCF2EB40}"/>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B816-4774-8204-450EDCF2EB40}"/>
              </c:ext>
            </c:extLst>
          </c:dPt>
          <c:dLbls>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 Chart'!$A$2:$A$14</c:f>
              <c:strCache>
                <c:ptCount val="12"/>
                <c:pt idx="0">
                  <c:v>Baby Food</c:v>
                </c:pt>
                <c:pt idx="1">
                  <c:v>Beverages</c:v>
                </c:pt>
                <c:pt idx="2">
                  <c:v>Cereal</c:v>
                </c:pt>
                <c:pt idx="3">
                  <c:v>Clothes</c:v>
                </c:pt>
                <c:pt idx="4">
                  <c:v>Cosmetics</c:v>
                </c:pt>
                <c:pt idx="5">
                  <c:v>Fruits</c:v>
                </c:pt>
                <c:pt idx="6">
                  <c:v>Household</c:v>
                </c:pt>
                <c:pt idx="7">
                  <c:v>Meat</c:v>
                </c:pt>
                <c:pt idx="8">
                  <c:v>Office Supplies</c:v>
                </c:pt>
                <c:pt idx="9">
                  <c:v>Personal Care</c:v>
                </c:pt>
                <c:pt idx="10">
                  <c:v>Snacks</c:v>
                </c:pt>
                <c:pt idx="11">
                  <c:v>Vegetables</c:v>
                </c:pt>
              </c:strCache>
            </c:strRef>
          </c:cat>
          <c:val>
            <c:numRef>
              <c:f>'Pie Chart'!$B$2:$B$14</c:f>
              <c:numCache>
                <c:formatCode>General</c:formatCode>
                <c:ptCount val="12"/>
                <c:pt idx="0">
                  <c:v>3886643.7</c:v>
                </c:pt>
                <c:pt idx="1">
                  <c:v>888047.27999999991</c:v>
                </c:pt>
                <c:pt idx="2">
                  <c:v>2292443.4299999997</c:v>
                </c:pt>
                <c:pt idx="3">
                  <c:v>5233334.4000000004</c:v>
                </c:pt>
                <c:pt idx="4">
                  <c:v>14556048.66</c:v>
                </c:pt>
                <c:pt idx="5">
                  <c:v>120495.18</c:v>
                </c:pt>
                <c:pt idx="6">
                  <c:v>7412605.7100000009</c:v>
                </c:pt>
                <c:pt idx="7">
                  <c:v>610610</c:v>
                </c:pt>
                <c:pt idx="8">
                  <c:v>5929583.75</c:v>
                </c:pt>
                <c:pt idx="9">
                  <c:v>1220622.48</c:v>
                </c:pt>
                <c:pt idx="10">
                  <c:v>751944.18</c:v>
                </c:pt>
                <c:pt idx="11">
                  <c:v>1265819.6300000001</c:v>
                </c:pt>
              </c:numCache>
            </c:numRef>
          </c:val>
          <c:extLst>
            <c:ext xmlns:c16="http://schemas.microsoft.com/office/drawing/2014/chart" uri="{C3380CC4-5D6E-409C-BE32-E72D297353CC}">
              <c16:uniqueId val="{00000018-B816-4774-8204-450EDCF2EB40}"/>
            </c:ext>
          </c:extLst>
        </c:ser>
        <c:ser>
          <c:idx val="1"/>
          <c:order val="1"/>
          <c:tx>
            <c:strRef>
              <c:f>'Pie Chart'!$C$1</c:f>
              <c:strCache>
                <c:ptCount val="1"/>
                <c:pt idx="0">
                  <c:v>Sum of Total Revenue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A-B816-4774-8204-450EDCF2EB4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C-B816-4774-8204-450EDCF2EB4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E-B816-4774-8204-450EDCF2EB4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0-B816-4774-8204-450EDCF2EB4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2-B816-4774-8204-450EDCF2EB40}"/>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4-B816-4774-8204-450EDCF2EB40}"/>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6-B816-4774-8204-450EDCF2EB40}"/>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8-B816-4774-8204-450EDCF2EB40}"/>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A-B816-4774-8204-450EDCF2EB40}"/>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C-B816-4774-8204-450EDCF2EB40}"/>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E-B816-4774-8204-450EDCF2EB40}"/>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0-B816-4774-8204-450EDCF2EB4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 Chart'!$A$2:$A$14</c:f>
              <c:strCache>
                <c:ptCount val="12"/>
                <c:pt idx="0">
                  <c:v>Baby Food</c:v>
                </c:pt>
                <c:pt idx="1">
                  <c:v>Beverages</c:v>
                </c:pt>
                <c:pt idx="2">
                  <c:v>Cereal</c:v>
                </c:pt>
                <c:pt idx="3">
                  <c:v>Clothes</c:v>
                </c:pt>
                <c:pt idx="4">
                  <c:v>Cosmetics</c:v>
                </c:pt>
                <c:pt idx="5">
                  <c:v>Fruits</c:v>
                </c:pt>
                <c:pt idx="6">
                  <c:v>Household</c:v>
                </c:pt>
                <c:pt idx="7">
                  <c:v>Meat</c:v>
                </c:pt>
                <c:pt idx="8">
                  <c:v>Office Supplies</c:v>
                </c:pt>
                <c:pt idx="9">
                  <c:v>Personal Care</c:v>
                </c:pt>
                <c:pt idx="10">
                  <c:v>Snacks</c:v>
                </c:pt>
                <c:pt idx="11">
                  <c:v>Vegetables</c:v>
                </c:pt>
              </c:strCache>
            </c:strRef>
          </c:cat>
          <c:val>
            <c:numRef>
              <c:f>'Pie Chart'!$C$2:$C$14</c:f>
              <c:numCache>
                <c:formatCode>General</c:formatCode>
                <c:ptCount val="12"/>
                <c:pt idx="0">
                  <c:v>10350327.6</c:v>
                </c:pt>
                <c:pt idx="1">
                  <c:v>2690794.6</c:v>
                </c:pt>
                <c:pt idx="2">
                  <c:v>5322898.9000000004</c:v>
                </c:pt>
                <c:pt idx="3">
                  <c:v>7787292.799999998</c:v>
                </c:pt>
                <c:pt idx="4">
                  <c:v>36601509.600000001</c:v>
                </c:pt>
                <c:pt idx="5">
                  <c:v>466481.34</c:v>
                </c:pt>
                <c:pt idx="6">
                  <c:v>29889712.289999995</c:v>
                </c:pt>
                <c:pt idx="7">
                  <c:v>4503675.75</c:v>
                </c:pt>
                <c:pt idx="8">
                  <c:v>30585380.07</c:v>
                </c:pt>
                <c:pt idx="9">
                  <c:v>3980904.8400000003</c:v>
                </c:pt>
                <c:pt idx="10">
                  <c:v>2080733.46</c:v>
                </c:pt>
                <c:pt idx="11">
                  <c:v>3089057.06</c:v>
                </c:pt>
              </c:numCache>
            </c:numRef>
          </c:val>
          <c:extLst>
            <c:ext xmlns:c16="http://schemas.microsoft.com/office/drawing/2014/chart" uri="{C3380CC4-5D6E-409C-BE32-E72D297353CC}">
              <c16:uniqueId val="{00000031-B816-4774-8204-450EDCF2EB40}"/>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557202408522459"/>
          <c:y val="0.22792688261528285"/>
          <c:w val="0.2327613092481087"/>
          <c:h val="0.6859804109852122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[100 Sales Records.xlsm]Sheet3!PivotTable3</c:name>
    <c:fmtId val="1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1"/>
          <c:order val="1"/>
          <c:tx>
            <c:strRef>
              <c:f>Sheet3!$C$1</c:f>
              <c:strCache>
                <c:ptCount val="1"/>
                <c:pt idx="0">
                  <c:v>Sum of Total Revenue</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Sheet3!$A$2:$A$14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Sheet3!$C$2:$C$14</c:f>
              <c:numCache>
                <c:formatCode>General</c:formatCode>
                <c:ptCount val="12"/>
                <c:pt idx="0">
                  <c:v>10482467.120000001</c:v>
                </c:pt>
                <c:pt idx="1">
                  <c:v>24740517.769999996</c:v>
                </c:pt>
                <c:pt idx="2">
                  <c:v>2274823.87</c:v>
                </c:pt>
                <c:pt idx="3">
                  <c:v>16187186.33</c:v>
                </c:pt>
                <c:pt idx="4">
                  <c:v>13215739.989999998</c:v>
                </c:pt>
                <c:pt idx="5">
                  <c:v>5230325.7699999996</c:v>
                </c:pt>
                <c:pt idx="6">
                  <c:v>15669518.500000004</c:v>
                </c:pt>
                <c:pt idx="7">
                  <c:v>1128164.9100000001</c:v>
                </c:pt>
                <c:pt idx="8">
                  <c:v>5314762.5600000005</c:v>
                </c:pt>
                <c:pt idx="9">
                  <c:v>15287576.610000001</c:v>
                </c:pt>
                <c:pt idx="10">
                  <c:v>20568222.759999998</c:v>
                </c:pt>
                <c:pt idx="11">
                  <c:v>7249462.1200000001</c:v>
                </c:pt>
              </c:numCache>
            </c:numRef>
          </c:val>
          <c:smooth val="0"/>
          <c:extLst>
            <c:ext xmlns:c16="http://schemas.microsoft.com/office/drawing/2014/chart" uri="{C3380CC4-5D6E-409C-BE32-E72D297353CC}">
              <c16:uniqueId val="{00000000-0463-486E-8AA2-15A6E9CEBB52}"/>
            </c:ext>
          </c:extLst>
        </c:ser>
        <c:dLbls>
          <c:showLegendKey val="0"/>
          <c:showVal val="0"/>
          <c:showCatName val="0"/>
          <c:showSerName val="0"/>
          <c:showPercent val="0"/>
          <c:showBubbleSize val="0"/>
        </c:dLbls>
        <c:marker val="1"/>
        <c:smooth val="0"/>
        <c:axId val="67490175"/>
        <c:axId val="1156329711"/>
      </c:lineChart>
      <c:lineChart>
        <c:grouping val="stacked"/>
        <c:varyColors val="0"/>
        <c:ser>
          <c:idx val="0"/>
          <c:order val="0"/>
          <c:tx>
            <c:strRef>
              <c:f>Sheet3!$B$1</c:f>
              <c:strCache>
                <c:ptCount val="1"/>
                <c:pt idx="0">
                  <c:v>Sum of Total Profit</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Sheet3!$A$2:$A$14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Sheet3!$B$2:$B$14</c:f>
              <c:numCache>
                <c:formatCode>General</c:formatCode>
                <c:ptCount val="12"/>
                <c:pt idx="0">
                  <c:v>2816857.02</c:v>
                </c:pt>
                <c:pt idx="1">
                  <c:v>7072050.5100000007</c:v>
                </c:pt>
                <c:pt idx="2">
                  <c:v>928351.05999999994</c:v>
                </c:pt>
                <c:pt idx="3">
                  <c:v>4760208.3499999996</c:v>
                </c:pt>
                <c:pt idx="4">
                  <c:v>4582692.3000000007</c:v>
                </c:pt>
                <c:pt idx="5">
                  <c:v>2185379.4299999997</c:v>
                </c:pt>
                <c:pt idx="6">
                  <c:v>5578463.0599999996</c:v>
                </c:pt>
                <c:pt idx="7">
                  <c:v>579276.67000000004</c:v>
                </c:pt>
                <c:pt idx="8">
                  <c:v>2344166.0299999998</c:v>
                </c:pt>
                <c:pt idx="9">
                  <c:v>4506923.2499999991</c:v>
                </c:pt>
                <c:pt idx="10">
                  <c:v>6457600.6499999994</c:v>
                </c:pt>
                <c:pt idx="11">
                  <c:v>2356230.0699999998</c:v>
                </c:pt>
              </c:numCache>
            </c:numRef>
          </c:val>
          <c:smooth val="0"/>
          <c:extLst>
            <c:ext xmlns:c16="http://schemas.microsoft.com/office/drawing/2014/chart" uri="{C3380CC4-5D6E-409C-BE32-E72D297353CC}">
              <c16:uniqueId val="{00000001-0463-486E-8AA2-15A6E9CEBB52}"/>
            </c:ext>
          </c:extLst>
        </c:ser>
        <c:dLbls>
          <c:showLegendKey val="0"/>
          <c:showVal val="0"/>
          <c:showCatName val="0"/>
          <c:showSerName val="0"/>
          <c:showPercent val="0"/>
          <c:showBubbleSize val="0"/>
        </c:dLbls>
        <c:upDownBars>
          <c:gapWidth val="150"/>
          <c:upBars>
            <c:spPr>
              <a:solidFill>
                <a:schemeClr val="lt1"/>
              </a:solidFill>
              <a:ln w="9525">
                <a:solidFill>
                  <a:schemeClr val="tx1">
                    <a:lumMod val="15000"/>
                    <a:lumOff val="85000"/>
                  </a:schemeClr>
                </a:solidFill>
              </a:ln>
              <a:effectLst/>
            </c:spPr>
          </c:upBars>
          <c:downBars>
            <c:spPr>
              <a:solidFill>
                <a:schemeClr val="dk1">
                  <a:lumMod val="65000"/>
                  <a:lumOff val="35000"/>
                </a:schemeClr>
              </a:solidFill>
              <a:ln w="9525">
                <a:solidFill>
                  <a:schemeClr val="tx1">
                    <a:lumMod val="65000"/>
                    <a:lumOff val="35000"/>
                  </a:schemeClr>
                </a:solidFill>
              </a:ln>
              <a:effectLst/>
            </c:spPr>
          </c:downBars>
        </c:upDownBars>
        <c:marker val="1"/>
        <c:smooth val="0"/>
        <c:axId val="69238623"/>
        <c:axId val="74230623"/>
      </c:lineChart>
      <c:catAx>
        <c:axId val="67490175"/>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6329711"/>
        <c:crosses val="autoZero"/>
        <c:auto val="1"/>
        <c:lblAlgn val="ctr"/>
        <c:lblOffset val="100"/>
        <c:noMultiLvlLbl val="0"/>
      </c:catAx>
      <c:valAx>
        <c:axId val="11563297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490175"/>
        <c:crosses val="autoZero"/>
        <c:crossBetween val="between"/>
      </c:valAx>
      <c:valAx>
        <c:axId val="74230623"/>
        <c:scaling>
          <c:orientation val="minMax"/>
        </c:scaling>
        <c:delete val="1"/>
        <c:axPos val="r"/>
        <c:numFmt formatCode="General" sourceLinked="1"/>
        <c:majorTickMark val="none"/>
        <c:minorTickMark val="none"/>
        <c:tickLblPos val="nextTo"/>
        <c:crossAx val="69238623"/>
        <c:crosses val="max"/>
        <c:crossBetween val="between"/>
      </c:valAx>
      <c:catAx>
        <c:axId val="69238623"/>
        <c:scaling>
          <c:orientation val="minMax"/>
        </c:scaling>
        <c:delete val="1"/>
        <c:axPos val="b"/>
        <c:numFmt formatCode="General" sourceLinked="1"/>
        <c:majorTickMark val="none"/>
        <c:minorTickMark val="none"/>
        <c:tickLblPos val="nextTo"/>
        <c:crossAx val="74230623"/>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[100 Sales Records.xlsm]Order count by region!PivotTable3</c:name>
    <c:fmtId val="17"/>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Total Order by Region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8856319967303358"/>
          <c:y val="0.1888217236040132"/>
          <c:w val="0.44833866569598507"/>
          <c:h val="0.71479750472116066"/>
        </c:manualLayout>
      </c:layout>
      <c:barChart>
        <c:barDir val="bar"/>
        <c:grouping val="clustered"/>
        <c:varyColors val="0"/>
        <c:ser>
          <c:idx val="0"/>
          <c:order val="0"/>
          <c:tx>
            <c:strRef>
              <c:f>'Order count by region'!$B$1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'Order count by region'!$A$2:$A$9</c:f>
              <c:strCache>
                <c:ptCount val="7"/>
                <c:pt idx="0">
                  <c:v>Asia</c:v>
                </c:pt>
                <c:pt idx="1">
                  <c:v>Australia and Oceania</c:v>
                </c:pt>
                <c:pt idx="2">
                  <c:v>Central America and the Caribbean</c:v>
                </c:pt>
                <c:pt idx="3">
                  <c:v>Europe</c:v>
                </c:pt>
                <c:pt idx="4">
                  <c:v>Middle East and North Africa</c:v>
                </c:pt>
                <c:pt idx="5">
                  <c:v>North America</c:v>
                </c:pt>
                <c:pt idx="6">
                  <c:v>Sub-Saharan Africa</c:v>
                </c:pt>
              </c:strCache>
            </c:strRef>
          </c:cat>
          <c:val>
            <c:numRef>
              <c:f>'Order count by region'!$B$2:$B$9</c:f>
              <c:numCache>
                <c:formatCode>General</c:formatCode>
                <c:ptCount val="7"/>
                <c:pt idx="0">
                  <c:v>11</c:v>
                </c:pt>
                <c:pt idx="1">
                  <c:v>11</c:v>
                </c:pt>
                <c:pt idx="2">
                  <c:v>7</c:v>
                </c:pt>
                <c:pt idx="3">
                  <c:v>22</c:v>
                </c:pt>
                <c:pt idx="4">
                  <c:v>10</c:v>
                </c:pt>
                <c:pt idx="5">
                  <c:v>3</c:v>
                </c:pt>
                <c:pt idx="6">
                  <c:v>36</c:v>
                </c:pt>
              </c:numCache>
            </c:numRef>
          </c:val>
          <c:extLst>
            <c:ext xmlns:c16="http://schemas.microsoft.com/office/drawing/2014/chart" uri="{C3380CC4-5D6E-409C-BE32-E72D297353CC}">
              <c16:uniqueId val="{00000000-93EA-49E7-AA75-3057D7FCFDBC}"/>
            </c:ext>
          </c:extLst>
        </c:ser>
        <c:dLbls>
          <c:dLblPos val="outEnd"/>
          <c:showLegendKey val="0"/>
          <c:showVal val="1"/>
          <c:showCatName val="0"/>
          <c:showSerName val="0"/>
          <c:showPercent val="0"/>
          <c:showBubbleSize val="0"/>
        </c:dLbls>
        <c:gapWidth val="115"/>
        <c:overlap val="-20"/>
        <c:axId val="1301571104"/>
        <c:axId val="1301567776"/>
      </c:barChart>
      <c:catAx>
        <c:axId val="1301571104"/>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567776"/>
        <c:crosses val="autoZero"/>
        <c:auto val="1"/>
        <c:lblAlgn val="ctr"/>
        <c:lblOffset val="100"/>
        <c:noMultiLvlLbl val="0"/>
      </c:catAx>
      <c:valAx>
        <c:axId val="13015677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5711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[100 Sales Records.xlsm]Order Priority!PivotTable2</c:name>
    <c:fmtId val="16"/>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Order</a:t>
            </a:r>
            <a:r>
              <a:rPr lang="en-US" baseline="0"/>
              <a:t> Priority</a:t>
            </a:r>
            <a:endParaRPr lang="en-US"/>
          </a:p>
        </c:rich>
      </c:tx>
      <c:layout>
        <c:manualLayout>
          <c:xMode val="edge"/>
          <c:yMode val="edge"/>
          <c:x val="0.24395122484689413"/>
          <c:y val="4.064596092155147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15454286964129485"/>
          <c:y val="0.17495443277923592"/>
          <c:w val="0.47424781277340333"/>
          <c:h val="0.79041302128900559"/>
        </c:manualLayout>
      </c:layout>
      <c:pieChart>
        <c:varyColors val="1"/>
        <c:ser>
          <c:idx val="0"/>
          <c:order val="0"/>
          <c:tx>
            <c:strRef>
              <c:f>'Order Priority'!$B$1</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C284-46B5-B2D5-794F3E5199B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C284-46B5-B2D5-794F3E5199B8}"/>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C284-46B5-B2D5-794F3E5199B8}"/>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C284-46B5-B2D5-794F3E5199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'Order Priority'!$A$2:$A$6</c:f>
              <c:strCache>
                <c:ptCount val="4"/>
                <c:pt idx="0">
                  <c:v>C</c:v>
                </c:pt>
                <c:pt idx="1">
                  <c:v>H</c:v>
                </c:pt>
                <c:pt idx="2">
                  <c:v>L</c:v>
                </c:pt>
                <c:pt idx="3">
                  <c:v>M</c:v>
                </c:pt>
              </c:strCache>
            </c:strRef>
          </c:cat>
          <c:val>
            <c:numRef>
              <c:f>'Order Priority'!$B$2:$B$6</c:f>
              <c:numCache>
                <c:formatCode>General</c:formatCode>
                <c:ptCount val="4"/>
                <c:pt idx="0">
                  <c:v>6748328.4599999981</c:v>
                </c:pt>
                <c:pt idx="1">
                  <c:v>16891599.580000002</c:v>
                </c:pt>
                <c:pt idx="2">
                  <c:v>10858727.860000003</c:v>
                </c:pt>
                <c:pt idx="3">
                  <c:v>9669542.5</c:v>
                </c:pt>
              </c:numCache>
            </c:numRef>
          </c:val>
          <c:extLst>
            <c:ext xmlns:c16="http://schemas.microsoft.com/office/drawing/2014/chart" uri="{C3380CC4-5D6E-409C-BE32-E72D297353CC}">
              <c16:uniqueId val="{00000008-C284-46B5-B2D5-794F3E5199B8}"/>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9661496707996562"/>
          <c:y val="0.31600972444816078"/>
          <c:w val="0.10161548556430446"/>
          <c:h val="0.5625021872265967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[100 Sales Records.xlsm]Top 5 coun.!PivotTable4</c:name>
    <c:fmtId val="17"/>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Top 5</a:t>
            </a:r>
            <a:r>
              <a:rPr lang="en-IN" baseline="0"/>
              <a:t> Countries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'Top 5 coun.'!$B$1</c:f>
              <c:strCache>
                <c:ptCount val="1"/>
                <c:pt idx="0">
                  <c:v>Sum of Total Profit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'Top 5 coun.'!$A$2:$A$7</c:f>
              <c:strCache>
                <c:ptCount val="5"/>
                <c:pt idx="0">
                  <c:v>Djibouti</c:v>
                </c:pt>
                <c:pt idx="1">
                  <c:v>Myanmar</c:v>
                </c:pt>
                <c:pt idx="2">
                  <c:v>Pakistan</c:v>
                </c:pt>
                <c:pt idx="3">
                  <c:v>Samoa </c:v>
                </c:pt>
                <c:pt idx="4">
                  <c:v>Honduras</c:v>
                </c:pt>
              </c:strCache>
            </c:strRef>
          </c:cat>
          <c:val>
            <c:numRef>
              <c:f>'Top 5 coun.'!$B$2:$B$7</c:f>
              <c:numCache>
                <c:formatCode>General</c:formatCode>
                <c:ptCount val="5"/>
                <c:pt idx="0">
                  <c:v>2425317.87</c:v>
                </c:pt>
                <c:pt idx="1">
                  <c:v>1802771.7</c:v>
                </c:pt>
                <c:pt idx="2">
                  <c:v>1719922.04</c:v>
                </c:pt>
                <c:pt idx="3">
                  <c:v>1678540.98</c:v>
                </c:pt>
                <c:pt idx="4">
                  <c:v>1609947.52</c:v>
                </c:pt>
              </c:numCache>
            </c:numRef>
          </c:val>
          <c:extLst>
            <c:ext xmlns:c16="http://schemas.microsoft.com/office/drawing/2014/chart" uri="{C3380CC4-5D6E-409C-BE32-E72D297353CC}">
              <c16:uniqueId val="{00000000-CB49-4578-939F-CE5602AC009F}"/>
            </c:ext>
          </c:extLst>
        </c:ser>
        <c:ser>
          <c:idx val="1"/>
          <c:order val="1"/>
          <c:tx>
            <c:strRef>
              <c:f>'Top 5 coun.'!$C$1</c:f>
              <c:strCache>
                <c:ptCount val="1"/>
                <c:pt idx="0">
                  <c:v>Sum of Total Revenue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'Top 5 coun.'!$A$2:$A$7</c:f>
              <c:strCache>
                <c:ptCount val="5"/>
                <c:pt idx="0">
                  <c:v>Djibouti</c:v>
                </c:pt>
                <c:pt idx="1">
                  <c:v>Myanmar</c:v>
                </c:pt>
                <c:pt idx="2">
                  <c:v>Pakistan</c:v>
                </c:pt>
                <c:pt idx="3">
                  <c:v>Samoa </c:v>
                </c:pt>
                <c:pt idx="4">
                  <c:v>Honduras</c:v>
                </c:pt>
              </c:strCache>
            </c:strRef>
          </c:cat>
          <c:val>
            <c:numRef>
              <c:f>'Top 5 coun.'!$C$2:$C$7</c:f>
              <c:numCache>
                <c:formatCode>General</c:formatCode>
                <c:ptCount val="5"/>
                <c:pt idx="0">
                  <c:v>6052890.8600000003</c:v>
                </c:pt>
                <c:pt idx="1">
                  <c:v>6161257.9000000004</c:v>
                </c:pt>
                <c:pt idx="2">
                  <c:v>4324782.4000000004</c:v>
                </c:pt>
                <c:pt idx="3">
                  <c:v>4220728.8</c:v>
                </c:pt>
                <c:pt idx="4">
                  <c:v>6336545.4800000004</c:v>
                </c:pt>
              </c:numCache>
            </c:numRef>
          </c:val>
          <c:extLst>
            <c:ext xmlns:c16="http://schemas.microsoft.com/office/drawing/2014/chart" uri="{C3380CC4-5D6E-409C-BE32-E72D297353CC}">
              <c16:uniqueId val="{00000001-CB49-4578-939F-CE5602AC009F}"/>
            </c:ext>
          </c:extLst>
        </c:ser>
        <c:dLbls>
          <c:showLegendKey val="0"/>
          <c:showVal val="0"/>
          <c:showCatName val="0"/>
          <c:showSerName val="0"/>
          <c:showPercent val="0"/>
          <c:showBubbleSize val="0"/>
        </c:dLbls>
        <c:gapWidth val="150"/>
        <c:shape val="box"/>
        <c:axId val="1299356144"/>
        <c:axId val="1299354064"/>
        <c:axId val="0"/>
      </c:bar3DChart>
      <c:catAx>
        <c:axId val="1299356144"/>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354064"/>
        <c:crosses val="autoZero"/>
        <c:auto val="1"/>
        <c:lblAlgn val="ctr"/>
        <c:lblOffset val="100"/>
        <c:noMultiLvlLbl val="0"/>
      </c:catAx>
      <c:valAx>
        <c:axId val="12993540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3561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[100 Sales Records.xlsm]Sheet2!PivotTable1</c:name>
    <c:fmtId val="8"/>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Sheet2!$B$1</c:f>
              <c:strCache>
                <c:ptCount val="1"/>
                <c:pt idx="0">
                  <c:v>Sum of Total Revenue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trendline>
            <c:spPr>
              <a:ln w="19050" cap="rnd">
                <a:solidFill>
                  <a:schemeClr val="accent1"/>
                </a:solidFill>
              </a:ln>
              <a:effectLst/>
            </c:spPr>
            <c:trendlineType val="linear"/>
            <c:forward val="2"/>
            <c:dispRSqr val="0"/>
            <c:dispEq val="0"/>
          </c:trendline>
          <c:cat>
            <c:strRef>
              <c:f>Sheet2!$A$2:$A$10</c:f>
              <c:strCache>
                <c:ptCount val="8"/>
                <c:pt idx="0">
                  <c:v>2010</c:v>
                </c:pt>
                <c:pt idx="1">
                  <c:v>2011</c:v>
                </c:pt>
                <c:pt idx="2">
                  <c:v>2012</c:v>
                </c:pt>
                <c:pt idx="3">
                  <c:v>2013</c:v>
                </c:pt>
                <c:pt idx="4">
                  <c:v>2014</c:v>
                </c:pt>
                <c:pt idx="5">
                  <c:v>2015</c:v>
                </c:pt>
                <c:pt idx="6">
                  <c:v>2016</c:v>
                </c:pt>
                <c:pt idx="7">
                  <c:v>2017</c:v>
                </c:pt>
              </c:strCache>
            </c:strRef>
          </c:cat>
          <c:val>
            <c:numRef>
              <c:f>Sheet2!$B$2:$B$10</c:f>
              <c:numCache>
                <c:formatCode>_-[$$-409]* #,##0.00_ ;_-[$$-409]* \-#,##0.00\ ;_-[$$-409]* "-"??_ ;_-@_ </c:formatCode>
                <c:ptCount val="8"/>
                <c:pt idx="0">
                  <c:v>19186024.920000002</c:v>
                </c:pt>
                <c:pt idx="1">
                  <c:v>11129166.07</c:v>
                </c:pt>
                <c:pt idx="2">
                  <c:v>31898644.52</c:v>
                </c:pt>
                <c:pt idx="3">
                  <c:v>20330448.66</c:v>
                </c:pt>
                <c:pt idx="4">
                  <c:v>16630214.430000002</c:v>
                </c:pt>
                <c:pt idx="5">
                  <c:v>12427982.860000001</c:v>
                </c:pt>
                <c:pt idx="6">
                  <c:v>12372867.219999999</c:v>
                </c:pt>
                <c:pt idx="7">
                  <c:v>13373419.629999999</c:v>
                </c:pt>
              </c:numCache>
            </c:numRef>
          </c:val>
          <c:extLst>
            <c:ext xmlns:c16="http://schemas.microsoft.com/office/drawing/2014/chart" uri="{C3380CC4-5D6E-409C-BE32-E72D297353CC}">
              <c16:uniqueId val="{00000001-5E0B-4215-B72E-865545C841D4}"/>
            </c:ext>
          </c:extLst>
        </c:ser>
        <c:dLbls>
          <c:showLegendKey val="0"/>
          <c:showVal val="0"/>
          <c:showCatName val="0"/>
          <c:showSerName val="0"/>
          <c:showPercent val="0"/>
          <c:showBubbleSize val="0"/>
        </c:dLbls>
        <c:gapWidth val="150"/>
        <c:axId val="1775755087"/>
        <c:axId val="1775755503"/>
      </c:barChart>
      <c:lineChart>
        <c:grouping val="standard"/>
        <c:varyColors val="0"/>
        <c:ser>
          <c:idx val="1"/>
          <c:order val="1"/>
          <c:tx>
            <c:strRef>
              <c:f>Sheet2!$C$1</c:f>
              <c:strCache>
                <c:ptCount val="1"/>
                <c:pt idx="0">
                  <c:v>Sum of Total Profit</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trendline>
            <c:spPr>
              <a:ln w="19050" cap="rnd">
                <a:solidFill>
                  <a:schemeClr val="accent2"/>
                </a:solidFill>
              </a:ln>
              <a:effectLst/>
            </c:spPr>
            <c:trendlineType val="linear"/>
            <c:forward val="2"/>
            <c:dispRSqr val="0"/>
            <c:dispEq val="0"/>
          </c:trendline>
          <c:cat>
            <c:strRef>
              <c:f>Sheet2!$A$2:$A$10</c:f>
              <c:strCache>
                <c:ptCount val="8"/>
                <c:pt idx="0">
                  <c:v>2010</c:v>
                </c:pt>
                <c:pt idx="1">
                  <c:v>2011</c:v>
                </c:pt>
                <c:pt idx="2">
                  <c:v>2012</c:v>
                </c:pt>
                <c:pt idx="3">
                  <c:v>2013</c:v>
                </c:pt>
                <c:pt idx="4">
                  <c:v>2014</c:v>
                </c:pt>
                <c:pt idx="5">
                  <c:v>2015</c:v>
                </c:pt>
                <c:pt idx="6">
                  <c:v>2016</c:v>
                </c:pt>
                <c:pt idx="7">
                  <c:v>2017</c:v>
                </c:pt>
              </c:strCache>
            </c:strRef>
          </c:cat>
          <c:val>
            <c:numRef>
              <c:f>Sheet2!$C$2:$C$10</c:f>
              <c:numCache>
                <c:formatCode>_-[$$-409]* #,##0.00_ ;_-[$$-409]* \-#,##0.00\ ;_-[$$-409]* "-"??_ ;_-@_ </c:formatCode>
                <c:ptCount val="8"/>
                <c:pt idx="0">
                  <c:v>6629567.4299999997</c:v>
                </c:pt>
                <c:pt idx="1">
                  <c:v>2741008.2300000004</c:v>
                </c:pt>
                <c:pt idx="2">
                  <c:v>9213010.120000001</c:v>
                </c:pt>
                <c:pt idx="3">
                  <c:v>6715420.0399999991</c:v>
                </c:pt>
                <c:pt idx="4">
                  <c:v>5879461.6799999997</c:v>
                </c:pt>
                <c:pt idx="5">
                  <c:v>3996539.4400000004</c:v>
                </c:pt>
                <c:pt idx="6">
                  <c:v>4903838.01</c:v>
                </c:pt>
                <c:pt idx="7">
                  <c:v>4089353.45</c:v>
                </c:pt>
              </c:numCache>
            </c:numRef>
          </c:val>
          <c:smooth val="0"/>
          <c:extLst>
            <c:ext xmlns:c16="http://schemas.microsoft.com/office/drawing/2014/chart" uri="{C3380CC4-5D6E-409C-BE32-E72D297353CC}">
              <c16:uniqueId val="{00000003-5E0B-4215-B72E-865545C841D4}"/>
            </c:ext>
          </c:extLst>
        </c:ser>
        <c:dLbls>
          <c:showLegendKey val="0"/>
          <c:showVal val="0"/>
          <c:showCatName val="0"/>
          <c:showSerName val="0"/>
          <c:showPercent val="0"/>
          <c:showBubbleSize val="0"/>
        </c:dLbls>
        <c:marker val="1"/>
        <c:smooth val="0"/>
        <c:axId val="1775755087"/>
        <c:axId val="1775755503"/>
      </c:lineChart>
      <c:catAx>
        <c:axId val="177575508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5755503"/>
        <c:crosses val="autoZero"/>
        <c:auto val="1"/>
        <c:lblAlgn val="ctr"/>
        <c:lblOffset val="100"/>
        <c:noMultiLvlLbl val="0"/>
      </c:catAx>
      <c:valAx>
        <c:axId val="1775755503"/>
        <c:scaling>
          <c:orientation val="minMax"/>
        </c:scaling>
        <c:delete val="0"/>
        <c:axPos val="l"/>
        <c:majorGridlines>
          <c:spPr>
            <a:ln w="9525" cap="flat" cmpd="sng" algn="ctr">
              <a:solidFill>
                <a:schemeClr val="tx1">
                  <a:lumMod val="15000"/>
                  <a:lumOff val="85000"/>
                </a:schemeClr>
              </a:soli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575508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absolute">
    <xdr:from>
      <xdr:col>14</xdr:col>
      <xdr:colOff>541020</xdr:colOff>
      <xdr:row>76</xdr:row>
      <xdr:rowOff>129540</xdr:rowOff>
    </xdr:from>
    <xdr:to>
      <xdr:col>17</xdr:col>
      <xdr:colOff>541020</xdr:colOff>
      <xdr:row>90</xdr:row>
      <xdr:rowOff>36195</xdr:rowOff>
    </xdr:to>
    <mc:AlternateContent xmlns:mc="http://schemas.openxmlformats.org/markup-compatibility/2006" xmlns:sle15="http://schemas.microsoft.com/office/drawing/2012/slicer">
      <mc:Choice Requires="sle15">
        <xdr:graphicFrame macro="">
          <xdr:nvGraphicFramePr>
            <xdr:cNvPr id="3" name="Order Date">
              <a:extLst>
                <a:ext uri="{FF2B5EF4-FFF2-40B4-BE49-F238E27FC236}">
                  <a16:creationId xmlns:a16="http://schemas.microsoft.com/office/drawing/2014/main" id="{DF5F803F-55CC-42DB-9F33-1200F42FFAD8}"/>
                </a:ext>
              </a:extLst>
            </xdr:cNvPr>
            <xdr:cNvGraphicFramePr/>
          </xdr:nvGraphicFramePr>
          <xdr:xfrm>
            <a:off x="0" y="0"/>
            <a:ext cx="0" cy="0"/>
          </xdr:xfrm>
          <a:graphic>
            <a:graphicData uri="http://schemas.microsoft.com/office/drawing/2010/slicer">
              <sle:slicer xmlns:sle="http://schemas.microsoft.com/office/drawing/2010/slicer" name="Order Date"/>
            </a:graphicData>
          </a:graphic>
        </xdr:graphicFrame>
      </mc:Choice>
      <mc:Fallback xmlns="">
        <xdr:sp macro="" textlink="">
          <xdr:nvSpPr>
            <xdr:cNvPr id="0" name=""/>
            <xdr:cNvSpPr>
              <a:spLocks noTextEdit="1"/>
            </xdr:cNvSpPr>
          </xdr:nvSpPr>
          <xdr:spPr>
            <a:xfrm>
              <a:off x="11689080" y="140284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480060</xdr:colOff>
      <xdr:row>0</xdr:row>
      <xdr:rowOff>7620</xdr:rowOff>
    </xdr:from>
    <xdr:to>
      <xdr:col>5</xdr:col>
      <xdr:colOff>541020</xdr:colOff>
      <xdr:row>13</xdr:row>
      <xdr:rowOff>97155</xdr:rowOff>
    </xdr:to>
    <mc:AlternateContent xmlns:mc="http://schemas.openxmlformats.org/markup-compatibility/2006" xmlns:a14="http://schemas.microsoft.com/office/drawing/2010/main">
      <mc:Choice Requires="a14">
        <xdr:graphicFrame macro="">
          <xdr:nvGraphicFramePr>
            <xdr:cNvPr id="7" name="Country">
              <a:extLst>
                <a:ext uri="{FF2B5EF4-FFF2-40B4-BE49-F238E27FC236}">
                  <a16:creationId xmlns:a16="http://schemas.microsoft.com/office/drawing/2014/main" id="{7CC67168-233A-4903-AE8F-CA559F6C1CCC}"/>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3848100" y="76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243840</xdr:colOff>
      <xdr:row>56</xdr:row>
      <xdr:rowOff>45720</xdr:rowOff>
    </xdr:from>
    <xdr:to>
      <xdr:col>11</xdr:col>
      <xdr:colOff>548640</xdr:colOff>
      <xdr:row>71</xdr:row>
      <xdr:rowOff>45720</xdr:rowOff>
    </xdr:to>
    <xdr:graphicFrame macro="">
      <xdr:nvGraphicFramePr>
        <xdr:cNvPr id="2" name="Chart 1">
          <a:extLst>
            <a:ext uri="{FF2B5EF4-FFF2-40B4-BE49-F238E27FC236}">
              <a16:creationId xmlns:a16="http://schemas.microsoft.com/office/drawing/2014/main" id="{40D79576-1C42-41E2-ADE8-7C8F57B0F9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68580</xdr:colOff>
      <xdr:row>0</xdr:row>
      <xdr:rowOff>0</xdr:rowOff>
    </xdr:from>
    <xdr:to>
      <xdr:col>10</xdr:col>
      <xdr:colOff>373380</xdr:colOff>
      <xdr:row>15</xdr:row>
      <xdr:rowOff>0</xdr:rowOff>
    </xdr:to>
    <xdr:graphicFrame macro="">
      <xdr:nvGraphicFramePr>
        <xdr:cNvPr id="3" name="Chart 2">
          <a:extLst>
            <a:ext uri="{FF2B5EF4-FFF2-40B4-BE49-F238E27FC236}">
              <a16:creationId xmlns:a16="http://schemas.microsoft.com/office/drawing/2014/main" id="{6679A28D-5B57-4047-B7F5-ADFA17B4FD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304800</xdr:colOff>
      <xdr:row>0</xdr:row>
      <xdr:rowOff>0</xdr:rowOff>
    </xdr:from>
    <xdr:to>
      <xdr:col>12</xdr:col>
      <xdr:colOff>0</xdr:colOff>
      <xdr:row>20</xdr:row>
      <xdr:rowOff>91440</xdr:rowOff>
    </xdr:to>
    <xdr:graphicFrame macro="">
      <xdr:nvGraphicFramePr>
        <xdr:cNvPr id="2" name="Chart 1">
          <a:extLst>
            <a:ext uri="{FF2B5EF4-FFF2-40B4-BE49-F238E27FC236}">
              <a16:creationId xmlns:a16="http://schemas.microsoft.com/office/drawing/2014/main" id="{6BD4601C-FBFA-48A8-8C63-93AF7DF096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60960</xdr:colOff>
      <xdr:row>0</xdr:row>
      <xdr:rowOff>0</xdr:rowOff>
    </xdr:from>
    <xdr:to>
      <xdr:col>6</xdr:col>
      <xdr:colOff>327660</xdr:colOff>
      <xdr:row>13</xdr:row>
      <xdr:rowOff>7620</xdr:rowOff>
    </xdr:to>
    <xdr:graphicFrame macro="">
      <xdr:nvGraphicFramePr>
        <xdr:cNvPr id="2" name="Chart 1">
          <a:extLst>
            <a:ext uri="{FF2B5EF4-FFF2-40B4-BE49-F238E27FC236}">
              <a16:creationId xmlns:a16="http://schemas.microsoft.com/office/drawing/2014/main" id="{F0783032-ED24-46BF-9DCE-B3F7ED9275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274320</xdr:colOff>
      <xdr:row>0</xdr:row>
      <xdr:rowOff>137160</xdr:rowOff>
    </xdr:from>
    <xdr:to>
      <xdr:col>13</xdr:col>
      <xdr:colOff>601980</xdr:colOff>
      <xdr:row>19</xdr:row>
      <xdr:rowOff>30480</xdr:rowOff>
    </xdr:to>
    <xdr:graphicFrame macro="">
      <xdr:nvGraphicFramePr>
        <xdr:cNvPr id="4" name="Chart 3">
          <a:extLst>
            <a:ext uri="{FF2B5EF4-FFF2-40B4-BE49-F238E27FC236}">
              <a16:creationId xmlns:a16="http://schemas.microsoft.com/office/drawing/2014/main" id="{45F214FE-3C8E-4E00-A1B5-A8ACEF4A5E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91440</xdr:colOff>
      <xdr:row>3</xdr:row>
      <xdr:rowOff>45720</xdr:rowOff>
    </xdr:from>
    <xdr:to>
      <xdr:col>22</xdr:col>
      <xdr:colOff>504240</xdr:colOff>
      <xdr:row>5</xdr:row>
      <xdr:rowOff>45720</xdr:rowOff>
    </xdr:to>
    <xdr:sp macro="" textlink="">
      <xdr:nvSpPr>
        <xdr:cNvPr id="3" name="Rectangle: Rounded Corners 2">
          <a:extLst>
            <a:ext uri="{FF2B5EF4-FFF2-40B4-BE49-F238E27FC236}">
              <a16:creationId xmlns:a16="http://schemas.microsoft.com/office/drawing/2014/main" id="{547CC402-876F-4D7A-B174-114EDC3816D1}"/>
            </a:ext>
          </a:extLst>
        </xdr:cNvPr>
        <xdr:cNvSpPr/>
      </xdr:nvSpPr>
      <xdr:spPr>
        <a:xfrm>
          <a:off x="91440" y="594360"/>
          <a:ext cx="13824000" cy="365760"/>
        </a:xfrm>
        <a:prstGeom prst="roundRect">
          <a:avLst/>
        </a:prstGeom>
        <a:solidFill>
          <a:schemeClr val="accent5">
            <a:lumMod val="60000"/>
            <a:lumOff val="40000"/>
          </a:schemeClr>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en-IN" sz="2000" b="1">
              <a:latin typeface="Copperplate Gothic Light" panose="020E0507020206020404" pitchFamily="34" charset="0"/>
            </a:rPr>
            <a:t>QUICK SUMMARY</a:t>
          </a:r>
        </a:p>
      </xdr:txBody>
    </xdr:sp>
    <xdr:clientData/>
  </xdr:twoCellAnchor>
  <xdr:twoCellAnchor>
    <xdr:from>
      <xdr:col>0</xdr:col>
      <xdr:colOff>0</xdr:colOff>
      <xdr:row>0</xdr:row>
      <xdr:rowOff>0</xdr:rowOff>
    </xdr:from>
    <xdr:to>
      <xdr:col>23</xdr:col>
      <xdr:colOff>0</xdr:colOff>
      <xdr:row>3</xdr:row>
      <xdr:rowOff>0</xdr:rowOff>
    </xdr:to>
    <xdr:sp macro="" textlink="">
      <xdr:nvSpPr>
        <xdr:cNvPr id="2" name="Rectangle 1">
          <a:extLst>
            <a:ext uri="{FF2B5EF4-FFF2-40B4-BE49-F238E27FC236}">
              <a16:creationId xmlns:a16="http://schemas.microsoft.com/office/drawing/2014/main" id="{D039372E-A7D5-49FD-8E5A-A54C9F7EBD1E}"/>
            </a:ext>
          </a:extLst>
        </xdr:cNvPr>
        <xdr:cNvSpPr/>
      </xdr:nvSpPr>
      <xdr:spPr>
        <a:xfrm>
          <a:off x="0" y="0"/>
          <a:ext cx="14020800" cy="548640"/>
        </a:xfrm>
        <a:prstGeom prst="rect">
          <a:avLst/>
        </a:prstGeom>
        <a:ln>
          <a:solidFill>
            <a:schemeClr val="accent1">
              <a:lumMod val="75000"/>
            </a:schemeClr>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en-IN" sz="3600">
              <a:latin typeface="Copperplate Gothic Bold" panose="020E0705020206020404" pitchFamily="34" charset="0"/>
            </a:rPr>
            <a:t>                                    SALES</a:t>
          </a:r>
          <a:r>
            <a:rPr lang="en-IN" sz="3600" baseline="0">
              <a:latin typeface="Copperplate Gothic Bold" panose="020E0705020206020404" pitchFamily="34" charset="0"/>
            </a:rPr>
            <a:t> DASHBOARD</a:t>
          </a:r>
          <a:endParaRPr lang="en-IN" sz="3600">
            <a:latin typeface="Copperplate Gothic Bold" panose="020E0705020206020404" pitchFamily="34" charset="0"/>
          </a:endParaRPr>
        </a:p>
      </xdr:txBody>
    </xdr:sp>
    <xdr:clientData/>
  </xdr:twoCellAnchor>
  <xdr:twoCellAnchor>
    <xdr:from>
      <xdr:col>0</xdr:col>
      <xdr:colOff>121920</xdr:colOff>
      <xdr:row>5</xdr:row>
      <xdr:rowOff>121920</xdr:rowOff>
    </xdr:from>
    <xdr:to>
      <xdr:col>22</xdr:col>
      <xdr:colOff>462720</xdr:colOff>
      <xdr:row>11</xdr:row>
      <xdr:rowOff>173692</xdr:rowOff>
    </xdr:to>
    <xdr:sp macro="" textlink="">
      <xdr:nvSpPr>
        <xdr:cNvPr id="4" name="Rectangle 3">
          <a:extLst>
            <a:ext uri="{FF2B5EF4-FFF2-40B4-BE49-F238E27FC236}">
              <a16:creationId xmlns:a16="http://schemas.microsoft.com/office/drawing/2014/main" id="{0BBD9610-7F81-4104-A71E-1131A53602D8}"/>
            </a:ext>
          </a:extLst>
        </xdr:cNvPr>
        <xdr:cNvSpPr/>
      </xdr:nvSpPr>
      <xdr:spPr>
        <a:xfrm>
          <a:off x="121920" y="1047206"/>
          <a:ext cx="13752000" cy="792000"/>
        </a:xfrm>
        <a:prstGeom prst="rect">
          <a:avLst/>
        </a:prstGeom>
        <a:solidFill>
          <a:schemeClr val="bg2">
            <a:lumMod val="90000"/>
          </a:schemeClr>
        </a:solidFill>
        <a:ln>
          <a:solidFill>
            <a:schemeClr val="accent1">
              <a:lumMod val="20000"/>
              <a:lumOff val="80000"/>
            </a:schemeClr>
          </a:solidFill>
        </a:ln>
        <a:effectLst>
          <a:softEdge rad="635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121920</xdr:colOff>
      <xdr:row>12</xdr:row>
      <xdr:rowOff>0</xdr:rowOff>
    </xdr:from>
    <xdr:to>
      <xdr:col>22</xdr:col>
      <xdr:colOff>318720</xdr:colOff>
      <xdr:row>15</xdr:row>
      <xdr:rowOff>99361</xdr:rowOff>
    </xdr:to>
    <mc:AlternateContent xmlns:mc="http://schemas.openxmlformats.org/markup-compatibility/2006" xmlns:a14="http://schemas.microsoft.com/office/drawing/2010/main">
      <mc:Choice Requires="a14">
        <xdr:graphicFrame macro="">
          <xdr:nvGraphicFramePr>
            <xdr:cNvPr id="15" name="Years">
              <a:extLst>
                <a:ext uri="{FF2B5EF4-FFF2-40B4-BE49-F238E27FC236}">
                  <a16:creationId xmlns:a16="http://schemas.microsoft.com/office/drawing/2014/main" id="{7788B2EA-B799-4B47-9442-347DE5B8DB4D}"/>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121920" y="1850571"/>
              <a:ext cx="13608000" cy="6545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464820</xdr:colOff>
      <xdr:row>15</xdr:row>
      <xdr:rowOff>114300</xdr:rowOff>
    </xdr:from>
    <xdr:to>
      <xdr:col>22</xdr:col>
      <xdr:colOff>332820</xdr:colOff>
      <xdr:row>18</xdr:row>
      <xdr:rowOff>141659</xdr:rowOff>
    </xdr:to>
    <mc:AlternateContent xmlns:mc="http://schemas.openxmlformats.org/markup-compatibility/2006" xmlns:a14="http://schemas.microsoft.com/office/drawing/2010/main">
      <mc:Choice Requires="a14">
        <xdr:graphicFrame macro="">
          <xdr:nvGraphicFramePr>
            <xdr:cNvPr id="16" name="Region">
              <a:extLst>
                <a:ext uri="{FF2B5EF4-FFF2-40B4-BE49-F238E27FC236}">
                  <a16:creationId xmlns:a16="http://schemas.microsoft.com/office/drawing/2014/main" id="{1ACF7998-2421-4EF9-B3A0-FDD013B2649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684020" y="2491740"/>
              <a:ext cx="12060000" cy="57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120832</xdr:colOff>
      <xdr:row>19</xdr:row>
      <xdr:rowOff>0</xdr:rowOff>
    </xdr:from>
    <xdr:to>
      <xdr:col>2</xdr:col>
      <xdr:colOff>578632</xdr:colOff>
      <xdr:row>33</xdr:row>
      <xdr:rowOff>174172</xdr:rowOff>
    </xdr:to>
    <mc:AlternateContent xmlns:mc="http://schemas.openxmlformats.org/markup-compatibility/2006">
      <mc:Choice xmlns:a14="http://schemas.microsoft.com/office/drawing/2010/main" Requires="a14">
        <xdr:graphicFrame macro="">
          <xdr:nvGraphicFramePr>
            <xdr:cNvPr id="17" name="Item Type">
              <a:extLst>
                <a:ext uri="{FF2B5EF4-FFF2-40B4-BE49-F238E27FC236}">
                  <a16:creationId xmlns:a16="http://schemas.microsoft.com/office/drawing/2014/main" id="{7E82F7AA-87EA-4D1B-87F6-64A0FEA9264F}"/>
                </a:ext>
              </a:extLst>
            </xdr:cNvPr>
            <xdr:cNvGraphicFramePr/>
          </xdr:nvGraphicFramePr>
          <xdr:xfrm>
            <a:off x="0" y="0"/>
            <a:ext cx="0" cy="0"/>
          </xdr:xfrm>
          <a:graphic>
            <a:graphicData uri="http://schemas.microsoft.com/office/drawing/2010/slicer">
              <sle:slicer xmlns:sle="http://schemas.microsoft.com/office/drawing/2010/slicer" name="Item Type"/>
            </a:graphicData>
          </a:graphic>
        </xdr:graphicFrame>
      </mc:Choice>
      <mc:Fallback>
        <xdr:sp macro="" textlink="">
          <xdr:nvSpPr>
            <xdr:cNvPr id="0" name=""/>
            <xdr:cNvSpPr>
              <a:spLocks noTextEdit="1"/>
            </xdr:cNvSpPr>
          </xdr:nvSpPr>
          <xdr:spPr>
            <a:xfrm>
              <a:off x="120832" y="3406588"/>
              <a:ext cx="1677000" cy="268429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120832</xdr:colOff>
      <xdr:row>15</xdr:row>
      <xdr:rowOff>114300</xdr:rowOff>
    </xdr:from>
    <xdr:to>
      <xdr:col>2</xdr:col>
      <xdr:colOff>485632</xdr:colOff>
      <xdr:row>18</xdr:row>
      <xdr:rowOff>141659</xdr:rowOff>
    </xdr:to>
    <mc:AlternateContent xmlns:mc="http://schemas.openxmlformats.org/markup-compatibility/2006">
      <mc:Choice xmlns:a14="http://schemas.microsoft.com/office/drawing/2010/main" Requires="a14">
        <xdr:graphicFrame macro="">
          <xdr:nvGraphicFramePr>
            <xdr:cNvPr id="18" name="Sales Channel">
              <a:extLst>
                <a:ext uri="{FF2B5EF4-FFF2-40B4-BE49-F238E27FC236}">
                  <a16:creationId xmlns:a16="http://schemas.microsoft.com/office/drawing/2014/main" id="{82BCB30C-4F9E-4ECA-B4E3-72EFD1EB2191}"/>
                </a:ext>
              </a:extLst>
            </xdr:cNvPr>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dr:sp macro="" textlink="">
          <xdr:nvSpPr>
            <xdr:cNvPr id="0" name=""/>
            <xdr:cNvSpPr>
              <a:spLocks noTextEdit="1"/>
            </xdr:cNvSpPr>
          </xdr:nvSpPr>
          <xdr:spPr>
            <a:xfrm>
              <a:off x="120832" y="2803712"/>
              <a:ext cx="1584000" cy="5652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198120</xdr:colOff>
      <xdr:row>18</xdr:row>
      <xdr:rowOff>175260</xdr:rowOff>
    </xdr:from>
    <xdr:to>
      <xdr:col>14</xdr:col>
      <xdr:colOff>140520</xdr:colOff>
      <xdr:row>34</xdr:row>
      <xdr:rowOff>0</xdr:rowOff>
    </xdr:to>
    <xdr:graphicFrame macro="">
      <xdr:nvGraphicFramePr>
        <xdr:cNvPr id="19" name="Chart 18">
          <a:extLst>
            <a:ext uri="{FF2B5EF4-FFF2-40B4-BE49-F238E27FC236}">
              <a16:creationId xmlns:a16="http://schemas.microsoft.com/office/drawing/2014/main" id="{598AFE40-881E-48AF-952C-B865A4A98E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243840</xdr:colOff>
      <xdr:row>19</xdr:row>
      <xdr:rowOff>7620</xdr:rowOff>
    </xdr:from>
    <xdr:to>
      <xdr:col>22</xdr:col>
      <xdr:colOff>332820</xdr:colOff>
      <xdr:row>34</xdr:row>
      <xdr:rowOff>0</xdr:rowOff>
    </xdr:to>
    <xdr:graphicFrame macro="">
      <xdr:nvGraphicFramePr>
        <xdr:cNvPr id="20" name="Chart 19">
          <a:extLst>
            <a:ext uri="{FF2B5EF4-FFF2-40B4-BE49-F238E27FC236}">
              <a16:creationId xmlns:a16="http://schemas.microsoft.com/office/drawing/2014/main" id="{6E50A160-390A-440D-96D6-DEC793B2F9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45720</xdr:colOff>
      <xdr:row>18</xdr:row>
      <xdr:rowOff>175260</xdr:rowOff>
    </xdr:from>
    <xdr:to>
      <xdr:col>8</xdr:col>
      <xdr:colOff>129540</xdr:colOff>
      <xdr:row>34</xdr:row>
      <xdr:rowOff>7620</xdr:rowOff>
    </xdr:to>
    <xdr:graphicFrame macro="">
      <xdr:nvGraphicFramePr>
        <xdr:cNvPr id="11" name="Chart 10">
          <a:extLst>
            <a:ext uri="{FF2B5EF4-FFF2-40B4-BE49-F238E27FC236}">
              <a16:creationId xmlns:a16="http://schemas.microsoft.com/office/drawing/2014/main" id="{65A03AE1-DBEC-4B72-8E6F-2C5B07429D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120832</xdr:colOff>
      <xdr:row>34</xdr:row>
      <xdr:rowOff>132804</xdr:rowOff>
    </xdr:from>
    <xdr:to>
      <xdr:col>5</xdr:col>
      <xdr:colOff>265612</xdr:colOff>
      <xdr:row>49</xdr:row>
      <xdr:rowOff>97970</xdr:rowOff>
    </xdr:to>
    <xdr:graphicFrame macro="">
      <xdr:nvGraphicFramePr>
        <xdr:cNvPr id="12" name="Chart 11">
          <a:extLst>
            <a:ext uri="{FF2B5EF4-FFF2-40B4-BE49-F238E27FC236}">
              <a16:creationId xmlns:a16="http://schemas.microsoft.com/office/drawing/2014/main" id="{5200B9AD-F22C-4B3B-82F6-E00660CED6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391887</xdr:colOff>
      <xdr:row>34</xdr:row>
      <xdr:rowOff>132804</xdr:rowOff>
    </xdr:from>
    <xdr:to>
      <xdr:col>13</xdr:col>
      <xdr:colOff>304801</xdr:colOff>
      <xdr:row>49</xdr:row>
      <xdr:rowOff>80553</xdr:rowOff>
    </xdr:to>
    <xdr:graphicFrame macro="">
      <xdr:nvGraphicFramePr>
        <xdr:cNvPr id="13" name="Chart 12">
          <a:extLst>
            <a:ext uri="{FF2B5EF4-FFF2-40B4-BE49-F238E27FC236}">
              <a16:creationId xmlns:a16="http://schemas.microsoft.com/office/drawing/2014/main" id="{2FAFE864-9177-4ADE-98D3-6A8FC9660A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6</xdr:row>
      <xdr:rowOff>174170</xdr:rowOff>
    </xdr:from>
    <xdr:to>
      <xdr:col>3</xdr:col>
      <xdr:colOff>478971</xdr:colOff>
      <xdr:row>9</xdr:row>
      <xdr:rowOff>43542</xdr:rowOff>
    </xdr:to>
    <xdr:sp macro="" textlink="Calc!J6">
      <xdr:nvSpPr>
        <xdr:cNvPr id="5" name="TextBox 4">
          <a:extLst>
            <a:ext uri="{FF2B5EF4-FFF2-40B4-BE49-F238E27FC236}">
              <a16:creationId xmlns:a16="http://schemas.microsoft.com/office/drawing/2014/main" id="{084439E5-1DEA-4E8E-A88E-51085FEDED72}"/>
            </a:ext>
          </a:extLst>
        </xdr:cNvPr>
        <xdr:cNvSpPr txBox="1"/>
      </xdr:nvSpPr>
      <xdr:spPr>
        <a:xfrm>
          <a:off x="0" y="1284513"/>
          <a:ext cx="2307771" cy="4245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A45E5EF-B72F-4296-BA4F-35F42D2EC0FC}" type="TxLink">
            <a:rPr lang="en-US" sz="1800" b="1" i="0" u="none" strike="noStrike">
              <a:solidFill>
                <a:srgbClr val="000000"/>
              </a:solidFill>
              <a:latin typeface="Calibri"/>
              <a:ea typeface="Calibri"/>
              <a:cs typeface="Calibri"/>
            </a:rPr>
            <a:pPr algn="ctr"/>
            <a:t>Total Revenue</a:t>
          </a:fld>
          <a:endParaRPr lang="en-IN" sz="1800"/>
        </a:p>
      </xdr:txBody>
    </xdr:sp>
    <xdr:clientData/>
  </xdr:twoCellAnchor>
  <xdr:twoCellAnchor>
    <xdr:from>
      <xdr:col>0</xdr:col>
      <xdr:colOff>0</xdr:colOff>
      <xdr:row>8</xdr:row>
      <xdr:rowOff>123586</xdr:rowOff>
    </xdr:from>
    <xdr:to>
      <xdr:col>3</xdr:col>
      <xdr:colOff>478971</xdr:colOff>
      <xdr:row>10</xdr:row>
      <xdr:rowOff>172251</xdr:rowOff>
    </xdr:to>
    <xdr:sp macro="" textlink="Calc!K6">
      <xdr:nvSpPr>
        <xdr:cNvPr id="21" name="TextBox 20">
          <a:extLst>
            <a:ext uri="{FF2B5EF4-FFF2-40B4-BE49-F238E27FC236}">
              <a16:creationId xmlns:a16="http://schemas.microsoft.com/office/drawing/2014/main" id="{E4A9C924-D6DF-43ED-906D-4AA88A69FDB1}"/>
            </a:ext>
          </a:extLst>
        </xdr:cNvPr>
        <xdr:cNvSpPr txBox="1"/>
      </xdr:nvSpPr>
      <xdr:spPr>
        <a:xfrm>
          <a:off x="0" y="1557939"/>
          <a:ext cx="2307771" cy="407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AC94B46-5480-435F-B716-F7939A6CF2C9}" type="TxLink">
            <a:rPr lang="en-US" sz="2000" b="0" i="0" u="none" strike="noStrike">
              <a:ln>
                <a:noFill/>
              </a:ln>
              <a:solidFill>
                <a:srgbClr val="000000"/>
              </a:solidFill>
              <a:latin typeface="Calibri"/>
              <a:ea typeface="Calibri"/>
              <a:cs typeface="Calibri"/>
            </a:rPr>
            <a:pPr algn="ctr"/>
            <a:t> $13,73,48,768 </a:t>
          </a:fld>
          <a:endParaRPr lang="en-IN" sz="6600">
            <a:ln>
              <a:noFill/>
            </a:ln>
          </a:endParaRPr>
        </a:p>
      </xdr:txBody>
    </xdr:sp>
    <xdr:clientData/>
  </xdr:twoCellAnchor>
  <xdr:twoCellAnchor>
    <xdr:from>
      <xdr:col>3</xdr:col>
      <xdr:colOff>32658</xdr:colOff>
      <xdr:row>6</xdr:row>
      <xdr:rowOff>174170</xdr:rowOff>
    </xdr:from>
    <xdr:to>
      <xdr:col>6</xdr:col>
      <xdr:colOff>511629</xdr:colOff>
      <xdr:row>9</xdr:row>
      <xdr:rowOff>43542</xdr:rowOff>
    </xdr:to>
    <xdr:sp macro="" textlink="Calc!J5">
      <xdr:nvSpPr>
        <xdr:cNvPr id="22" name="TextBox 21">
          <a:extLst>
            <a:ext uri="{FF2B5EF4-FFF2-40B4-BE49-F238E27FC236}">
              <a16:creationId xmlns:a16="http://schemas.microsoft.com/office/drawing/2014/main" id="{B318067C-4823-4FE4-A15B-1BAA8806B61E}"/>
            </a:ext>
          </a:extLst>
        </xdr:cNvPr>
        <xdr:cNvSpPr txBox="1"/>
      </xdr:nvSpPr>
      <xdr:spPr>
        <a:xfrm>
          <a:off x="1861458" y="1284513"/>
          <a:ext cx="2307771" cy="4245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0B8175E-3015-4549-B214-B88B8FB253E1}" type="TxLink">
            <a:rPr lang="en-US" sz="1800" b="1" i="0" u="none" strike="noStrike">
              <a:solidFill>
                <a:srgbClr val="000000"/>
              </a:solidFill>
              <a:latin typeface="Calibri"/>
              <a:ea typeface="Calibri"/>
              <a:cs typeface="Calibri"/>
            </a:rPr>
            <a:pPr algn="ctr"/>
            <a:t>Total Profits</a:t>
          </a:fld>
          <a:endParaRPr lang="en-IN" sz="3200" b="1"/>
        </a:p>
      </xdr:txBody>
    </xdr:sp>
    <xdr:clientData/>
  </xdr:twoCellAnchor>
  <xdr:twoCellAnchor>
    <xdr:from>
      <xdr:col>2</xdr:col>
      <xdr:colOff>524436</xdr:colOff>
      <xdr:row>8</xdr:row>
      <xdr:rowOff>96692</xdr:rowOff>
    </xdr:from>
    <xdr:to>
      <xdr:col>6</xdr:col>
      <xdr:colOff>393807</xdr:colOff>
      <xdr:row>10</xdr:row>
      <xdr:rowOff>145357</xdr:rowOff>
    </xdr:to>
    <xdr:sp macro="" textlink="Calc!K5">
      <xdr:nvSpPr>
        <xdr:cNvPr id="23" name="TextBox 22">
          <a:extLst>
            <a:ext uri="{FF2B5EF4-FFF2-40B4-BE49-F238E27FC236}">
              <a16:creationId xmlns:a16="http://schemas.microsoft.com/office/drawing/2014/main" id="{2AF02E84-737B-41D5-9BA1-3BC176343004}"/>
            </a:ext>
          </a:extLst>
        </xdr:cNvPr>
        <xdr:cNvSpPr txBox="1"/>
      </xdr:nvSpPr>
      <xdr:spPr>
        <a:xfrm>
          <a:off x="1743636" y="1531045"/>
          <a:ext cx="2307771" cy="407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240CE36-11BC-4F2B-AF5F-56F8ECB753B6}" type="TxLink">
            <a:rPr lang="en-US" sz="2000" b="0" i="0" u="none" strike="noStrike">
              <a:solidFill>
                <a:srgbClr val="000000"/>
              </a:solidFill>
              <a:latin typeface="Calibri"/>
              <a:ea typeface="Calibri"/>
              <a:cs typeface="Calibri"/>
            </a:rPr>
            <a:pPr algn="ctr"/>
            <a:t> $4,41,68,198 </a:t>
          </a:fld>
          <a:endParaRPr lang="en-IN" sz="5400"/>
        </a:p>
      </xdr:txBody>
    </xdr:sp>
    <xdr:clientData/>
  </xdr:twoCellAnchor>
  <xdr:twoCellAnchor>
    <xdr:from>
      <xdr:col>6</xdr:col>
      <xdr:colOff>1</xdr:colOff>
      <xdr:row>5</xdr:row>
      <xdr:rowOff>130627</xdr:rowOff>
    </xdr:from>
    <xdr:to>
      <xdr:col>9</xdr:col>
      <xdr:colOff>478972</xdr:colOff>
      <xdr:row>9</xdr:row>
      <xdr:rowOff>27214</xdr:rowOff>
    </xdr:to>
    <xdr:sp macro="" textlink="Calc!J8">
      <xdr:nvSpPr>
        <xdr:cNvPr id="24" name="TextBox 23">
          <a:extLst>
            <a:ext uri="{FF2B5EF4-FFF2-40B4-BE49-F238E27FC236}">
              <a16:creationId xmlns:a16="http://schemas.microsoft.com/office/drawing/2014/main" id="{D6FACC69-2A78-4D79-9D99-712010F1C16A}"/>
            </a:ext>
          </a:extLst>
        </xdr:cNvPr>
        <xdr:cNvSpPr txBox="1"/>
      </xdr:nvSpPr>
      <xdr:spPr>
        <a:xfrm>
          <a:off x="3657601" y="1055913"/>
          <a:ext cx="2307771" cy="636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F9284F6-AA8D-4BFA-A41D-2954B2BA08C4}" type="TxLink">
            <a:rPr lang="en-US" sz="1600" b="1" i="0" u="none" strike="noStrike">
              <a:solidFill>
                <a:srgbClr val="000000"/>
              </a:solidFill>
              <a:latin typeface="Calibri"/>
              <a:ea typeface="Calibri"/>
              <a:cs typeface="Calibri"/>
            </a:rPr>
            <a:pPr algn="ctr"/>
            <a:t>Highest Profit by Country</a:t>
          </a:fld>
          <a:endParaRPr lang="en-IN" sz="4400"/>
        </a:p>
      </xdr:txBody>
    </xdr:sp>
    <xdr:clientData/>
  </xdr:twoCellAnchor>
  <xdr:twoCellAnchor>
    <xdr:from>
      <xdr:col>5</xdr:col>
      <xdr:colOff>522515</xdr:colOff>
      <xdr:row>9</xdr:row>
      <xdr:rowOff>141515</xdr:rowOff>
    </xdr:from>
    <xdr:to>
      <xdr:col>9</xdr:col>
      <xdr:colOff>391886</xdr:colOff>
      <xdr:row>13</xdr:row>
      <xdr:rowOff>10886</xdr:rowOff>
    </xdr:to>
    <xdr:sp macro="" textlink="Calc!K8">
      <xdr:nvSpPr>
        <xdr:cNvPr id="26" name="TextBox 25">
          <a:extLst>
            <a:ext uri="{FF2B5EF4-FFF2-40B4-BE49-F238E27FC236}">
              <a16:creationId xmlns:a16="http://schemas.microsoft.com/office/drawing/2014/main" id="{83B4F907-B012-4E59-80F9-E92E55808927}"/>
            </a:ext>
          </a:extLst>
        </xdr:cNvPr>
        <xdr:cNvSpPr txBox="1"/>
      </xdr:nvSpPr>
      <xdr:spPr>
        <a:xfrm>
          <a:off x="3570515" y="1807029"/>
          <a:ext cx="2307771"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6F5EB53-7F3B-4351-9888-CAFD651D42F0}" type="TxLink">
            <a:rPr lang="en-US" sz="2000" b="0" i="0" u="none" strike="noStrike">
              <a:solidFill>
                <a:srgbClr val="000000"/>
              </a:solidFill>
              <a:latin typeface="Calibri"/>
              <a:ea typeface="Calibri"/>
              <a:cs typeface="Calibri"/>
            </a:rPr>
            <a:pPr algn="ctr"/>
            <a:t> $24,25,318 </a:t>
          </a:fld>
          <a:endParaRPr lang="en-IN" sz="8800"/>
        </a:p>
      </xdr:txBody>
    </xdr:sp>
    <xdr:clientData/>
  </xdr:twoCellAnchor>
  <xdr:twoCellAnchor>
    <xdr:from>
      <xdr:col>9</xdr:col>
      <xdr:colOff>185059</xdr:colOff>
      <xdr:row>5</xdr:row>
      <xdr:rowOff>130628</xdr:rowOff>
    </xdr:from>
    <xdr:to>
      <xdr:col>12</xdr:col>
      <xdr:colOff>424543</xdr:colOff>
      <xdr:row>9</xdr:row>
      <xdr:rowOff>125187</xdr:rowOff>
    </xdr:to>
    <xdr:sp macro="" textlink="Calc!J9">
      <xdr:nvSpPr>
        <xdr:cNvPr id="27" name="TextBox 26">
          <a:extLst>
            <a:ext uri="{FF2B5EF4-FFF2-40B4-BE49-F238E27FC236}">
              <a16:creationId xmlns:a16="http://schemas.microsoft.com/office/drawing/2014/main" id="{4539D9FC-8B1B-4C3D-8F4C-142440DC72FE}"/>
            </a:ext>
          </a:extLst>
        </xdr:cNvPr>
        <xdr:cNvSpPr txBox="1"/>
      </xdr:nvSpPr>
      <xdr:spPr>
        <a:xfrm>
          <a:off x="5671459" y="1055914"/>
          <a:ext cx="2068284" cy="734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A1CFBD8-9F0D-459C-A103-2DC6DDE1F8B7}" type="TxLink">
            <a:rPr lang="en-US" sz="1600" b="1" i="0" u="none" strike="noStrike">
              <a:solidFill>
                <a:srgbClr val="000000"/>
              </a:solidFill>
              <a:latin typeface="Calibri"/>
              <a:ea typeface="Calibri"/>
              <a:cs typeface="Calibri"/>
            </a:rPr>
            <a:pPr algn="ctr"/>
            <a:t>Highest Revenue by Country</a:t>
          </a:fld>
          <a:endParaRPr lang="en-IN" sz="6000"/>
        </a:p>
      </xdr:txBody>
    </xdr:sp>
    <xdr:clientData/>
  </xdr:twoCellAnchor>
  <xdr:twoCellAnchor>
    <xdr:from>
      <xdr:col>8</xdr:col>
      <xdr:colOff>457202</xdr:colOff>
      <xdr:row>9</xdr:row>
      <xdr:rowOff>141515</xdr:rowOff>
    </xdr:from>
    <xdr:to>
      <xdr:col>12</xdr:col>
      <xdr:colOff>326573</xdr:colOff>
      <xdr:row>13</xdr:row>
      <xdr:rowOff>10886</xdr:rowOff>
    </xdr:to>
    <xdr:sp macro="" textlink="Calc!K9">
      <xdr:nvSpPr>
        <xdr:cNvPr id="28" name="TextBox 27">
          <a:extLst>
            <a:ext uri="{FF2B5EF4-FFF2-40B4-BE49-F238E27FC236}">
              <a16:creationId xmlns:a16="http://schemas.microsoft.com/office/drawing/2014/main" id="{682D672A-C8C3-4CAF-BD1E-F226831BFB8B}"/>
            </a:ext>
          </a:extLst>
        </xdr:cNvPr>
        <xdr:cNvSpPr txBox="1"/>
      </xdr:nvSpPr>
      <xdr:spPr>
        <a:xfrm>
          <a:off x="5334002" y="1807029"/>
          <a:ext cx="2307771"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8DD1655-2D95-496F-9F4A-C8A9CD3BDCDE}" type="TxLink">
            <a:rPr lang="en-US" sz="2000" b="0" i="0" u="none" strike="noStrike">
              <a:solidFill>
                <a:srgbClr val="000000"/>
              </a:solidFill>
              <a:latin typeface="Calibri"/>
              <a:ea typeface="Calibri"/>
              <a:cs typeface="Calibri"/>
            </a:rPr>
            <a:pPr algn="ctr"/>
            <a:t> $63,36,545 </a:t>
          </a:fld>
          <a:endParaRPr lang="en-IN" sz="19900"/>
        </a:p>
      </xdr:txBody>
    </xdr:sp>
    <xdr:clientData/>
  </xdr:twoCellAnchor>
  <xdr:twoCellAnchor>
    <xdr:from>
      <xdr:col>6</xdr:col>
      <xdr:colOff>108857</xdr:colOff>
      <xdr:row>8</xdr:row>
      <xdr:rowOff>54429</xdr:rowOff>
    </xdr:from>
    <xdr:to>
      <xdr:col>9</xdr:col>
      <xdr:colOff>304798</xdr:colOff>
      <xdr:row>10</xdr:row>
      <xdr:rowOff>108859</xdr:rowOff>
    </xdr:to>
    <xdr:sp macro="" textlink="Calc!L8">
      <xdr:nvSpPr>
        <xdr:cNvPr id="29" name="TextBox 28">
          <a:extLst>
            <a:ext uri="{FF2B5EF4-FFF2-40B4-BE49-F238E27FC236}">
              <a16:creationId xmlns:a16="http://schemas.microsoft.com/office/drawing/2014/main" id="{B1E8A2B2-CDAC-4D7C-830F-6DE2E0B1655A}"/>
            </a:ext>
          </a:extLst>
        </xdr:cNvPr>
        <xdr:cNvSpPr txBox="1"/>
      </xdr:nvSpPr>
      <xdr:spPr>
        <a:xfrm>
          <a:off x="3766457" y="1534886"/>
          <a:ext cx="2024741" cy="424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13D7D70-072D-407B-BA7C-FC7B0A4614C5}" type="TxLink">
            <a:rPr lang="en-US" sz="1600" b="0" i="1" u="none" strike="noStrike">
              <a:solidFill>
                <a:sysClr val="windowText" lastClr="000000"/>
              </a:solidFill>
              <a:latin typeface="Calibri"/>
              <a:ea typeface="Calibri"/>
              <a:cs typeface="Calibri"/>
            </a:rPr>
            <a:pPr algn="ctr"/>
            <a:t>Mozambique</a:t>
          </a:fld>
          <a:endParaRPr lang="en-IN" sz="6000" b="0" i="1">
            <a:solidFill>
              <a:sysClr val="windowText" lastClr="000000"/>
            </a:solidFill>
          </a:endParaRPr>
        </a:p>
      </xdr:txBody>
    </xdr:sp>
    <xdr:clientData/>
  </xdr:twoCellAnchor>
  <xdr:twoCellAnchor>
    <xdr:from>
      <xdr:col>12</xdr:col>
      <xdr:colOff>54430</xdr:colOff>
      <xdr:row>5</xdr:row>
      <xdr:rowOff>141514</xdr:rowOff>
    </xdr:from>
    <xdr:to>
      <xdr:col>15</xdr:col>
      <xdr:colOff>261257</xdr:colOff>
      <xdr:row>8</xdr:row>
      <xdr:rowOff>43544</xdr:rowOff>
    </xdr:to>
    <xdr:sp macro="" textlink="Calc!J11">
      <xdr:nvSpPr>
        <xdr:cNvPr id="30" name="TextBox 29">
          <a:extLst>
            <a:ext uri="{FF2B5EF4-FFF2-40B4-BE49-F238E27FC236}">
              <a16:creationId xmlns:a16="http://schemas.microsoft.com/office/drawing/2014/main" id="{BC80751B-AA86-46B6-8217-C88BF6A73B0D}"/>
            </a:ext>
          </a:extLst>
        </xdr:cNvPr>
        <xdr:cNvSpPr txBox="1"/>
      </xdr:nvSpPr>
      <xdr:spPr>
        <a:xfrm>
          <a:off x="7369630" y="1066800"/>
          <a:ext cx="2035627" cy="457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23665B7-7A79-490B-A3E0-E3F8C46F8F2F}" type="TxLink">
            <a:rPr lang="en-US" sz="1800" b="1" i="0" u="none" strike="noStrike">
              <a:solidFill>
                <a:srgbClr val="000000"/>
              </a:solidFill>
              <a:latin typeface="Calibri"/>
              <a:ea typeface="Calibri"/>
              <a:cs typeface="Calibri"/>
            </a:rPr>
            <a:pPr algn="ctr"/>
            <a:t>Top Item</a:t>
          </a:fld>
          <a:endParaRPr lang="en-IN" sz="8800"/>
        </a:p>
      </xdr:txBody>
    </xdr:sp>
    <xdr:clientData/>
  </xdr:twoCellAnchor>
  <xdr:twoCellAnchor>
    <xdr:from>
      <xdr:col>12</xdr:col>
      <xdr:colOff>489858</xdr:colOff>
      <xdr:row>7</xdr:row>
      <xdr:rowOff>97970</xdr:rowOff>
    </xdr:from>
    <xdr:to>
      <xdr:col>14</xdr:col>
      <xdr:colOff>424541</xdr:colOff>
      <xdr:row>9</xdr:row>
      <xdr:rowOff>10888</xdr:rowOff>
    </xdr:to>
    <xdr:sp macro="" textlink="Calc!L11">
      <xdr:nvSpPr>
        <xdr:cNvPr id="31" name="TextBox 30">
          <a:extLst>
            <a:ext uri="{FF2B5EF4-FFF2-40B4-BE49-F238E27FC236}">
              <a16:creationId xmlns:a16="http://schemas.microsoft.com/office/drawing/2014/main" id="{576AB4A6-9AB6-4889-8BEE-83A8595C3CCF}"/>
            </a:ext>
          </a:extLst>
        </xdr:cNvPr>
        <xdr:cNvSpPr txBox="1"/>
      </xdr:nvSpPr>
      <xdr:spPr>
        <a:xfrm>
          <a:off x="7805058" y="1393370"/>
          <a:ext cx="1153883" cy="283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CE0D061-02DC-463C-A41E-1AAD16202624}" type="TxLink">
            <a:rPr lang="en-US" sz="1600" b="0" i="1" u="none" strike="noStrike">
              <a:solidFill>
                <a:srgbClr val="000000"/>
              </a:solidFill>
              <a:latin typeface="Calibri"/>
              <a:ea typeface="Calibri"/>
              <a:cs typeface="Calibri"/>
            </a:rPr>
            <a:pPr algn="ctr"/>
            <a:t>Cosmetics</a:t>
          </a:fld>
          <a:endParaRPr lang="en-IN" sz="34400" b="0" i="1"/>
        </a:p>
      </xdr:txBody>
    </xdr:sp>
    <xdr:clientData/>
  </xdr:twoCellAnchor>
  <xdr:twoCellAnchor>
    <xdr:from>
      <xdr:col>12</xdr:col>
      <xdr:colOff>43545</xdr:colOff>
      <xdr:row>9</xdr:row>
      <xdr:rowOff>97972</xdr:rowOff>
    </xdr:from>
    <xdr:to>
      <xdr:col>15</xdr:col>
      <xdr:colOff>250372</xdr:colOff>
      <xdr:row>13</xdr:row>
      <xdr:rowOff>1</xdr:rowOff>
    </xdr:to>
    <xdr:sp macro="" textlink="Calc!K11">
      <xdr:nvSpPr>
        <xdr:cNvPr id="32" name="TextBox 31">
          <a:extLst>
            <a:ext uri="{FF2B5EF4-FFF2-40B4-BE49-F238E27FC236}">
              <a16:creationId xmlns:a16="http://schemas.microsoft.com/office/drawing/2014/main" id="{A3860273-63E1-42F6-AD7F-7F92D5F6020F}"/>
            </a:ext>
          </a:extLst>
        </xdr:cNvPr>
        <xdr:cNvSpPr txBox="1"/>
      </xdr:nvSpPr>
      <xdr:spPr>
        <a:xfrm>
          <a:off x="7358745" y="1763486"/>
          <a:ext cx="2035627" cy="642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DFEC3E0-36F1-4F11-804E-3B0C52FD225A}" type="TxLink">
            <a:rPr lang="en-US" sz="2000" b="0" i="0" u="none" strike="noStrike">
              <a:solidFill>
                <a:srgbClr val="000000"/>
              </a:solidFill>
              <a:latin typeface="Calibri"/>
              <a:ea typeface="Calibri"/>
              <a:cs typeface="Calibri"/>
            </a:rPr>
            <a:pPr algn="ctr"/>
            <a:t> $1,45,56,049 </a:t>
          </a:fld>
          <a:endParaRPr lang="en-IN" sz="19900"/>
        </a:p>
      </xdr:txBody>
    </xdr:sp>
    <xdr:clientData/>
  </xdr:twoCellAnchor>
  <xdr:twoCellAnchor>
    <xdr:from>
      <xdr:col>14</xdr:col>
      <xdr:colOff>566057</xdr:colOff>
      <xdr:row>5</xdr:row>
      <xdr:rowOff>165208</xdr:rowOff>
    </xdr:from>
    <xdr:to>
      <xdr:col>18</xdr:col>
      <xdr:colOff>566056</xdr:colOff>
      <xdr:row>9</xdr:row>
      <xdr:rowOff>45466</xdr:rowOff>
    </xdr:to>
    <xdr:sp macro="" textlink="Calc!J12">
      <xdr:nvSpPr>
        <xdr:cNvPr id="33" name="TextBox 32">
          <a:extLst>
            <a:ext uri="{FF2B5EF4-FFF2-40B4-BE49-F238E27FC236}">
              <a16:creationId xmlns:a16="http://schemas.microsoft.com/office/drawing/2014/main" id="{E8566AA5-DC96-4C19-9681-D0C8CFE82BD0}"/>
            </a:ext>
          </a:extLst>
        </xdr:cNvPr>
        <xdr:cNvSpPr txBox="1"/>
      </xdr:nvSpPr>
      <xdr:spPr>
        <a:xfrm>
          <a:off x="9100457" y="1061679"/>
          <a:ext cx="2438399" cy="5974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6B7A5E8-F928-47B0-9B07-AFFB6F569B74}" type="TxLink">
            <a:rPr lang="en-US" sz="1600" b="1" i="0" u="none" strike="noStrike">
              <a:solidFill>
                <a:srgbClr val="000000"/>
              </a:solidFill>
              <a:latin typeface="Calibri"/>
              <a:ea typeface="Calibri"/>
              <a:cs typeface="Calibri"/>
            </a:rPr>
            <a:pPr algn="ctr"/>
            <a:t>Highest Profits generating Channel</a:t>
          </a:fld>
          <a:endParaRPr lang="en-IN" sz="13800"/>
        </a:p>
      </xdr:txBody>
    </xdr:sp>
    <xdr:clientData/>
  </xdr:twoCellAnchor>
  <xdr:twoCellAnchor>
    <xdr:from>
      <xdr:col>14</xdr:col>
      <xdr:colOff>555175</xdr:colOff>
      <xdr:row>9</xdr:row>
      <xdr:rowOff>130631</xdr:rowOff>
    </xdr:from>
    <xdr:to>
      <xdr:col>18</xdr:col>
      <xdr:colOff>152402</xdr:colOff>
      <xdr:row>13</xdr:row>
      <xdr:rowOff>32661</xdr:rowOff>
    </xdr:to>
    <xdr:sp macro="" textlink="Calc!K12">
      <xdr:nvSpPr>
        <xdr:cNvPr id="34" name="TextBox 33">
          <a:extLst>
            <a:ext uri="{FF2B5EF4-FFF2-40B4-BE49-F238E27FC236}">
              <a16:creationId xmlns:a16="http://schemas.microsoft.com/office/drawing/2014/main" id="{9770BCC7-8E3B-4BB6-9C1B-49EA83BB0C6B}"/>
            </a:ext>
          </a:extLst>
        </xdr:cNvPr>
        <xdr:cNvSpPr txBox="1"/>
      </xdr:nvSpPr>
      <xdr:spPr>
        <a:xfrm>
          <a:off x="9089575" y="1796145"/>
          <a:ext cx="2035627" cy="6422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C7BFF15-72DE-43DD-84C6-D9DA53ECC8EB}" type="TxLink">
            <a:rPr lang="en-US" sz="2000" b="0" i="0" u="none" strike="noStrike">
              <a:solidFill>
                <a:srgbClr val="000000"/>
              </a:solidFill>
              <a:latin typeface="Calibri"/>
              <a:ea typeface="Calibri"/>
              <a:cs typeface="Calibri"/>
            </a:rPr>
            <a:pPr algn="ctr"/>
            <a:t> $2,49,20,727 </a:t>
          </a:fld>
          <a:endParaRPr lang="en-IN" sz="49600"/>
        </a:p>
      </xdr:txBody>
    </xdr:sp>
    <xdr:clientData/>
  </xdr:twoCellAnchor>
  <xdr:twoCellAnchor>
    <xdr:from>
      <xdr:col>15</xdr:col>
      <xdr:colOff>402776</xdr:colOff>
      <xdr:row>8</xdr:row>
      <xdr:rowOff>65315</xdr:rowOff>
    </xdr:from>
    <xdr:to>
      <xdr:col>18</xdr:col>
      <xdr:colOff>54430</xdr:colOff>
      <xdr:row>10</xdr:row>
      <xdr:rowOff>10887</xdr:rowOff>
    </xdr:to>
    <xdr:sp macro="" textlink="Calc!L12">
      <xdr:nvSpPr>
        <xdr:cNvPr id="35" name="TextBox 34">
          <a:extLst>
            <a:ext uri="{FF2B5EF4-FFF2-40B4-BE49-F238E27FC236}">
              <a16:creationId xmlns:a16="http://schemas.microsoft.com/office/drawing/2014/main" id="{0B0C2260-2A09-483A-A211-452C2D9CA2BA}"/>
            </a:ext>
          </a:extLst>
        </xdr:cNvPr>
        <xdr:cNvSpPr txBox="1"/>
      </xdr:nvSpPr>
      <xdr:spPr>
        <a:xfrm>
          <a:off x="9546776" y="1545772"/>
          <a:ext cx="1480454" cy="315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8C6C7C6-05D5-4CA0-8D5C-17CCD5293067}" type="TxLink">
            <a:rPr lang="en-US" sz="1600" b="0" i="1" u="none" strike="noStrike">
              <a:solidFill>
                <a:srgbClr val="000000"/>
              </a:solidFill>
              <a:latin typeface="Calibri"/>
              <a:ea typeface="Calibri"/>
              <a:cs typeface="Calibri"/>
            </a:rPr>
            <a:pPr algn="ctr"/>
            <a:t>Offline</a:t>
          </a:fld>
          <a:endParaRPr lang="en-IN" sz="85700" b="0" i="1"/>
        </a:p>
      </xdr:txBody>
    </xdr:sp>
    <xdr:clientData/>
  </xdr:twoCellAnchor>
  <xdr:twoCellAnchor>
    <xdr:from>
      <xdr:col>9</xdr:col>
      <xdr:colOff>141514</xdr:colOff>
      <xdr:row>8</xdr:row>
      <xdr:rowOff>21771</xdr:rowOff>
    </xdr:from>
    <xdr:to>
      <xdr:col>12</xdr:col>
      <xdr:colOff>337455</xdr:colOff>
      <xdr:row>10</xdr:row>
      <xdr:rowOff>76201</xdr:rowOff>
    </xdr:to>
    <xdr:sp macro="" textlink="Calc!L9">
      <xdr:nvSpPr>
        <xdr:cNvPr id="40" name="TextBox 39">
          <a:extLst>
            <a:ext uri="{FF2B5EF4-FFF2-40B4-BE49-F238E27FC236}">
              <a16:creationId xmlns:a16="http://schemas.microsoft.com/office/drawing/2014/main" id="{343F2747-4A09-4D4C-9DA5-D0D17E532C04}"/>
            </a:ext>
          </a:extLst>
        </xdr:cNvPr>
        <xdr:cNvSpPr txBox="1"/>
      </xdr:nvSpPr>
      <xdr:spPr>
        <a:xfrm>
          <a:off x="5627914" y="1502228"/>
          <a:ext cx="2024741" cy="424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E833189-B051-4BFC-9886-3D12B2223EFE}" type="TxLink">
            <a:rPr lang="en-US" sz="1600" b="0" i="1" u="none" strike="noStrike">
              <a:solidFill>
                <a:srgbClr val="000000"/>
              </a:solidFill>
              <a:latin typeface="Calibri"/>
              <a:ea typeface="Calibri"/>
              <a:cs typeface="Calibri"/>
            </a:rPr>
            <a:pPr algn="ctr"/>
            <a:t>Mozambique</a:t>
          </a:fld>
          <a:endParaRPr lang="en-IN" sz="8000" b="0" i="1">
            <a:solidFill>
              <a:sysClr val="windowText" lastClr="000000"/>
            </a:solidFill>
          </a:endParaRPr>
        </a:p>
      </xdr:txBody>
    </xdr:sp>
    <xdr:clientData/>
  </xdr:twoCellAnchor>
  <xdr:twoCellAnchor>
    <xdr:from>
      <xdr:col>18</xdr:col>
      <xdr:colOff>557093</xdr:colOff>
      <xdr:row>6</xdr:row>
      <xdr:rowOff>12808</xdr:rowOff>
    </xdr:from>
    <xdr:to>
      <xdr:col>22</xdr:col>
      <xdr:colOff>557092</xdr:colOff>
      <xdr:row>9</xdr:row>
      <xdr:rowOff>72360</xdr:rowOff>
    </xdr:to>
    <xdr:sp macro="" textlink="Calc!J14">
      <xdr:nvSpPr>
        <xdr:cNvPr id="36" name="TextBox 35">
          <a:extLst>
            <a:ext uri="{FF2B5EF4-FFF2-40B4-BE49-F238E27FC236}">
              <a16:creationId xmlns:a16="http://schemas.microsoft.com/office/drawing/2014/main" id="{5F28E085-BB80-407D-B6F3-43903DF9F0BE}"/>
            </a:ext>
          </a:extLst>
        </xdr:cNvPr>
        <xdr:cNvSpPr txBox="1"/>
      </xdr:nvSpPr>
      <xdr:spPr>
        <a:xfrm>
          <a:off x="11529893" y="1088573"/>
          <a:ext cx="2438399" cy="5974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25DEA47-33AC-49C1-9C61-FDB944BAC1AC}" type="TxLink">
            <a:rPr lang="en-US" sz="1600" b="1" i="0" u="none" strike="noStrike">
              <a:solidFill>
                <a:srgbClr val="000000"/>
              </a:solidFill>
              <a:latin typeface="Calibri"/>
              <a:ea typeface="Calibri"/>
              <a:cs typeface="Calibri"/>
            </a:rPr>
            <a:pPr algn="ctr"/>
            <a:t>Highest Sale on any particular day</a:t>
          </a:fld>
          <a:endParaRPr lang="en-IN" sz="23900"/>
        </a:p>
      </xdr:txBody>
    </xdr:sp>
    <xdr:clientData/>
  </xdr:twoCellAnchor>
  <xdr:twoCellAnchor>
    <xdr:from>
      <xdr:col>19</xdr:col>
      <xdr:colOff>169693</xdr:colOff>
      <xdr:row>9</xdr:row>
      <xdr:rowOff>137675</xdr:rowOff>
    </xdr:from>
    <xdr:to>
      <xdr:col>22</xdr:col>
      <xdr:colOff>179295</xdr:colOff>
      <xdr:row>11</xdr:row>
      <xdr:rowOff>116542</xdr:rowOff>
    </xdr:to>
    <xdr:sp macro="" textlink="Calc!K14">
      <xdr:nvSpPr>
        <xdr:cNvPr id="37" name="TextBox 36">
          <a:extLst>
            <a:ext uri="{FF2B5EF4-FFF2-40B4-BE49-F238E27FC236}">
              <a16:creationId xmlns:a16="http://schemas.microsoft.com/office/drawing/2014/main" id="{DDD1CA23-D624-4959-A247-A6DBFAEC2434}"/>
            </a:ext>
          </a:extLst>
        </xdr:cNvPr>
        <xdr:cNvSpPr txBox="1"/>
      </xdr:nvSpPr>
      <xdr:spPr>
        <a:xfrm>
          <a:off x="11752093" y="1751322"/>
          <a:ext cx="1838402" cy="3374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5B87674-2A01-4006-8588-849951A75C9D}" type="TxLink">
            <a:rPr lang="en-US" sz="1600" b="0" i="0" u="none" strike="noStrike">
              <a:solidFill>
                <a:srgbClr val="000000"/>
              </a:solidFill>
              <a:latin typeface="Calibri"/>
              <a:ea typeface="Calibri"/>
              <a:cs typeface="Calibri"/>
            </a:rPr>
            <a:pPr algn="ctr"/>
            <a:t> $17,19,922 </a:t>
          </a:fld>
          <a:endParaRPr lang="en-IN" sz="85700"/>
        </a:p>
      </xdr:txBody>
    </xdr:sp>
    <xdr:clientData/>
  </xdr:twoCellAnchor>
  <xdr:twoCellAnchor>
    <xdr:from>
      <xdr:col>19</xdr:col>
      <xdr:colOff>142798</xdr:colOff>
      <xdr:row>8</xdr:row>
      <xdr:rowOff>146641</xdr:rowOff>
    </xdr:from>
    <xdr:to>
      <xdr:col>22</xdr:col>
      <xdr:colOff>349625</xdr:colOff>
      <xdr:row>12</xdr:row>
      <xdr:rowOff>48672</xdr:rowOff>
    </xdr:to>
    <xdr:sp macro="" textlink="Calc!L14">
      <xdr:nvSpPr>
        <xdr:cNvPr id="38" name="TextBox 37">
          <a:extLst>
            <a:ext uri="{FF2B5EF4-FFF2-40B4-BE49-F238E27FC236}">
              <a16:creationId xmlns:a16="http://schemas.microsoft.com/office/drawing/2014/main" id="{25CACBCE-67E0-42B3-BC57-2573111107D9}"/>
            </a:ext>
          </a:extLst>
        </xdr:cNvPr>
        <xdr:cNvSpPr txBox="1"/>
      </xdr:nvSpPr>
      <xdr:spPr>
        <a:xfrm>
          <a:off x="11725198" y="1580994"/>
          <a:ext cx="2035627" cy="619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B547598-3548-4008-B93F-88FEA041E010}" type="TxLink">
            <a:rPr lang="en-US" sz="1400" b="0" i="0" u="none" strike="noStrike">
              <a:solidFill>
                <a:srgbClr val="000000"/>
              </a:solidFill>
              <a:latin typeface="Calibri"/>
              <a:ea typeface="Calibri"/>
              <a:cs typeface="Calibri"/>
            </a:rPr>
            <a:pPr algn="ctr"/>
            <a:t>05-07-2013</a:t>
          </a:fld>
          <a:endParaRPr lang="en-IN" sz="71400"/>
        </a:p>
      </xdr:txBody>
    </xdr:sp>
    <xdr:clientData/>
  </xdr:twoCellAnchor>
  <xdr:twoCellAnchor>
    <xdr:from>
      <xdr:col>13</xdr:col>
      <xdr:colOff>494185</xdr:colOff>
      <xdr:row>34</xdr:row>
      <xdr:rowOff>125506</xdr:rowOff>
    </xdr:from>
    <xdr:to>
      <xdr:col>22</xdr:col>
      <xdr:colOff>332820</xdr:colOff>
      <xdr:row>49</xdr:row>
      <xdr:rowOff>80553</xdr:rowOff>
    </xdr:to>
    <xdr:graphicFrame macro="">
      <xdr:nvGraphicFramePr>
        <xdr:cNvPr id="41" name="Chart 40">
          <a:extLst>
            <a:ext uri="{FF2B5EF4-FFF2-40B4-BE49-F238E27FC236}">
              <a16:creationId xmlns:a16="http://schemas.microsoft.com/office/drawing/2014/main" id="{1211358C-DB63-4DA5-8D69-57216C0076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HUL GUPTA" refreshedDate="44675.917155555559" createdVersion="7" refreshedVersion="7" minRefreshableVersion="3" recordCount="100" xr:uid="{DA7715EC-E624-478C-8074-D7B68884C167}">
  <cacheSource type="worksheet">
    <worksheetSource name="Table1"/>
  </cacheSource>
  <cacheFields count="16">
    <cacheField name="Region" numFmtId="0">
      <sharedItems count="7">
        <s v="Australia and Oceania"/>
        <s v="Central America and the Caribbean"/>
        <s v="Europe"/>
        <s v="Sub-Saharan Africa"/>
        <s v="Asia"/>
        <s v="Middle East and North Africa"/>
        <s v="North America"/>
      </sharedItems>
    </cacheField>
    <cacheField name="Country" numFmtId="0">
      <sharedItems count="76">
        <s v="Tuvalu"/>
        <s v="Grenada"/>
        <s v="Russia"/>
        <s v="Sao Tome and Principe"/>
        <s v="Rwanda"/>
        <s v="Solomon Islands"/>
        <s v="Angola"/>
        <s v="Burkina Faso"/>
        <s v="Republic of the Congo"/>
        <s v="Senegal"/>
        <s v="Kyrgyzstan"/>
        <s v="Cape Verde"/>
        <s v="Bangladesh"/>
        <s v="Honduras"/>
        <s v="Mongolia"/>
        <s v="Bulgaria"/>
        <s v="Sri Lanka"/>
        <s v="Cameroon"/>
        <s v="Turkmenistan"/>
        <s v="East Timor"/>
        <s v="Norway"/>
        <s v="Portugal"/>
        <s v="New Zealand"/>
        <s v="Moldova "/>
        <s v="France"/>
        <s v="Kiribati"/>
        <s v="Mali"/>
        <s v="The Gambia"/>
        <s v="Switzerland"/>
        <s v="South Sudan"/>
        <s v="Australia"/>
        <s v="Myanmar"/>
        <s v="Djibouti"/>
        <s v="Costa Rica"/>
        <s v="Syria"/>
        <s v="Brunei"/>
        <s v="Niger"/>
        <s v="Azerbaijan"/>
        <s v="Slovakia"/>
        <s v="Comoros"/>
        <s v="Iceland"/>
        <s v="Macedonia"/>
        <s v="Mauritania"/>
        <s v="Albania"/>
        <s v="Lesotho"/>
        <s v="Saudi Arabia"/>
        <s v="Sierra Leone"/>
        <s v="Cote d'Ivoire"/>
        <s v="Fiji"/>
        <s v="Austria"/>
        <s v="United Kingdom"/>
        <s v="San Marino"/>
        <s v="Libya"/>
        <s v="Haiti"/>
        <s v="Gabon"/>
        <s v="Belize"/>
        <s v="Lithuania"/>
        <s v="Madagascar"/>
        <s v="Democratic Republic of the Congo"/>
        <s v="Pakistan"/>
        <s v="Mexico"/>
        <s v="Federated States of Micronesia"/>
        <s v="Laos"/>
        <s v="Monaco"/>
        <s v="Samoa "/>
        <s v="Spain"/>
        <s v="Lebanon"/>
        <s v="Iran"/>
        <s v="Zambia"/>
        <s v="Kenya"/>
        <s v="Kuwait"/>
        <s v="Slovenia"/>
        <s v="Romania"/>
        <s v="Nicaragua"/>
        <s v="Malaysia"/>
        <s v="Mozambique"/>
      </sharedItems>
    </cacheField>
    <cacheField name="Item Type" numFmtId="0">
      <sharedItems count="12">
        <s v="Baby Food"/>
        <s v="Cereal"/>
        <s v="Office Supplies"/>
        <s v="Fruits"/>
        <s v="Household"/>
        <s v="Vegetables"/>
        <s v="Personal Care"/>
        <s v="Clothes"/>
        <s v="Cosmetics"/>
        <s v="Beverages"/>
        <s v="Meat"/>
        <s v="Snacks"/>
      </sharedItems>
    </cacheField>
    <cacheField name="Sales Channel" numFmtId="0">
      <sharedItems count="2">
        <s v="Offline"/>
        <s v="Online"/>
      </sharedItems>
    </cacheField>
    <cacheField name="Order Priority" numFmtId="0">
      <sharedItems count="4">
        <s v="H"/>
        <s v="C"/>
        <s v="L"/>
        <s v="M"/>
      </sharedItems>
    </cacheField>
    <cacheField name="Order Date" numFmtId="14">
      <sharedItems containsSemiMixedTypes="0" containsNonDate="0" containsDate="1" containsString="0" minDate="2010-02-02T00:00:00" maxDate="2017-05-23T00:00:00" count="100">
        <d v="2010-05-28T00:00:00"/>
        <d v="2012-08-22T00:00:00"/>
        <d v="2014-05-02T00:00:00"/>
        <d v="2014-06-20T00:00:00"/>
        <d v="2013-02-01T00:00:00"/>
        <d v="2015-02-04T00:00:00"/>
        <d v="2011-04-23T00:00:00"/>
        <d v="2012-07-17T00:00:00"/>
        <d v="2015-07-14T00:00:00"/>
        <d v="2014-04-18T00:00:00"/>
        <d v="2011-06-24T00:00:00"/>
        <d v="2014-08-02T00:00:00"/>
        <d v="2017-01-13T00:00:00"/>
        <d v="2017-02-08T00:00:00"/>
        <d v="2014-02-19T00:00:00"/>
        <d v="2012-04-23T00:00:00"/>
        <d v="2016-11-19T00:00:00"/>
        <d v="2015-04-01T00:00:00"/>
        <d v="2010-12-30T00:00:00"/>
        <d v="2012-07-31T00:00:00"/>
        <d v="2014-05-14T00:00:00"/>
        <d v="2015-07-31T00:00:00"/>
        <d v="2016-06-30T00:00:00"/>
        <d v="2014-09-08T00:00:00"/>
        <d v="2016-05-07T00:00:00"/>
        <d v="2017-05-22T00:00:00"/>
        <d v="2014-10-13T00:00:00"/>
        <d v="2010-05-07T00:00:00"/>
        <d v="2014-07-18T00:00:00"/>
        <d v="2012-05-26T00:00:00"/>
        <d v="2012-09-17T00:00:00"/>
        <d v="2013-12-29T00:00:00"/>
        <d v="2015-10-27T00:00:00"/>
        <d v="2015-01-16T00:00:00"/>
        <d v="2017-02-25T00:00:00"/>
        <d v="2017-05-08T00:00:00"/>
        <d v="2011-11-22T00:00:00"/>
        <d v="2017-01-14T00:00:00"/>
        <d v="2012-04-01T00:00:00"/>
        <d v="2012-02-16T00:00:00"/>
        <d v="2017-03-11T00:00:00"/>
        <d v="2010-02-06T00:00:00"/>
        <d v="2012-06-07T00:00:00"/>
        <d v="2012-10-06T00:00:00"/>
        <d v="2015-11-14T00:00:00"/>
        <d v="2016-03-29T00:00:00"/>
        <d v="2016-12-31T00:00:00"/>
        <d v="2010-12-23T00:00:00"/>
        <d v="2014-10-14T00:00:00"/>
        <d v="2012-01-11T00:00:00"/>
        <d v="2010-02-02T00:00:00"/>
        <d v="2013-08-18T00:00:00"/>
        <d v="2013-03-25T00:00:00"/>
        <d v="2011-11-26T00:00:00"/>
        <d v="2013-09-17T00:00:00"/>
        <d v="2012-06-08T00:00:00"/>
        <d v="2010-06-30T00:00:00"/>
        <d v="2015-02-23T00:00:00"/>
        <d v="2012-01-05T00:00:00"/>
        <d v="2014-04-07T00:00:00"/>
        <d v="2013-06-09T00:00:00"/>
        <d v="2013-06-26T00:00:00"/>
        <d v="2011-11-07T00:00:00"/>
        <d v="2010-10-30T00:00:00"/>
        <d v="2013-10-13T00:00:00"/>
        <d v="2013-10-11T00:00:00"/>
        <d v="2012-07-08T00:00:00"/>
        <d v="2016-07-25T00:00:00"/>
        <d v="2010-10-24T00:00:00"/>
        <d v="2015-04-25T00:00:00"/>
        <d v="2013-04-23T00:00:00"/>
        <d v="2015-08-14T00:00:00"/>
        <d v="2011-05-26T00:00:00"/>
        <d v="2017-05-20T00:00:00"/>
        <d v="2013-07-05T00:00:00"/>
        <d v="2014-11-06T00:00:00"/>
        <d v="2014-10-28T00:00:00"/>
        <d v="2011-09-15T00:00:00"/>
        <d v="2012-05-29T00:00:00"/>
        <d v="2013-07-20T00:00:00"/>
        <d v="2012-10-21T00:00:00"/>
        <d v="2012-09-18T00:00:00"/>
        <d v="2016-11-15T00:00:00"/>
        <d v="2011-01-04T00:00:00"/>
        <d v="2012-03-18T00:00:00"/>
        <d v="2012-02-17T00:00:00"/>
        <d v="2011-01-16T00:00:00"/>
        <d v="2014-02-03T00:00:00"/>
        <d v="2012-04-30T00:00:00"/>
        <d v="2016-10-23T00:00:00"/>
        <d v="2016-12-06T00:00:00"/>
        <d v="2014-07-07T00:00:00"/>
        <d v="2012-06-13T00:00:00"/>
        <d v="2010-11-26T00:00:00"/>
        <d v="2011-02-08T00:00:00"/>
        <d v="2011-07-26T00:00:00"/>
        <d v="2011-11-11T00:00:00"/>
        <d v="2016-06-01T00:00:00"/>
        <d v="2015-07-30T00:00:00"/>
        <d v="2012-02-10T00:00:00"/>
      </sharedItems>
      <fieldGroup par="15" base="5">
        <rangePr groupBy="months" startDate="2010-02-02T00:00:00" endDate="2017-05-23T00:00:00"/>
        <groupItems count="14">
          <s v="&lt;02-02-2010"/>
          <s v="Jan"/>
          <s v="Feb"/>
          <s v="Mar"/>
          <s v="Apr"/>
          <s v="May"/>
          <s v="Jun"/>
          <s v="Jul"/>
          <s v="Aug"/>
          <s v="Sep"/>
          <s v="Oct"/>
          <s v="Nov"/>
          <s v="Dec"/>
          <s v="&gt;23-05-2017"/>
        </groupItems>
      </fieldGroup>
    </cacheField>
    <cacheField name="Order ID" numFmtId="0">
      <sharedItems containsSemiMixedTypes="0" containsString="0" containsNumber="1" containsInteger="1" minValue="114606559" maxValue="994022214"/>
    </cacheField>
    <cacheField name="Ship Date" numFmtId="14">
      <sharedItems containsSemiMixedTypes="0" containsNonDate="0" containsDate="1" containsString="0" minDate="2010-02-25T00:00:00" maxDate="2017-06-18T00:00:00" count="99">
        <d v="2010-06-27T00:00:00"/>
        <d v="2012-09-15T00:00:00"/>
        <d v="2014-05-08T00:00:00"/>
        <d v="2014-07-05T00:00:00"/>
        <d v="2013-02-06T00:00:00"/>
        <d v="2015-02-21T00:00:00"/>
        <d v="2011-04-27T00:00:00"/>
        <d v="2012-07-27T00:00:00"/>
        <d v="2015-08-25T00:00:00"/>
        <d v="2014-05-30T00:00:00"/>
        <d v="2011-07-12T00:00:00"/>
        <d v="2014-08-19T00:00:00"/>
        <d v="2017-03-01T00:00:00"/>
        <d v="2017-02-13T00:00:00"/>
        <d v="2014-02-23T00:00:00"/>
        <d v="2012-06-03T00:00:00"/>
        <d v="2016-12-18T00:00:00"/>
        <d v="2015-04-18T00:00:00"/>
        <d v="2011-01-20T00:00:00"/>
        <d v="2012-09-11T00:00:00"/>
        <d v="2014-06-28T00:00:00"/>
        <d v="2015-09-03T00:00:00"/>
        <d v="2016-07-26T00:00:00"/>
        <d v="2014-10-04T00:00:00"/>
        <d v="2016-05-10T00:00:00"/>
        <d v="2017-06-05T00:00:00"/>
        <d v="2014-11-10T00:00:00"/>
        <d v="2010-05-10T00:00:00"/>
        <d v="2014-07-30T00:00:00"/>
        <d v="2012-06-09T00:00:00"/>
        <d v="2012-10-20T00:00:00"/>
        <d v="2014-01-28T00:00:00"/>
        <d v="2015-11-25T00:00:00"/>
        <d v="2015-03-01T00:00:00"/>
        <d v="2017-02-25T00:00:00"/>
        <d v="2017-05-21T00:00:00"/>
        <d v="2011-12-03T00:00:00"/>
        <d v="2017-01-23T00:00:00"/>
        <d v="2012-05-08T00:00:00"/>
        <d v="2012-02-28T00:00:00"/>
        <d v="2017-03-28T00:00:00"/>
        <d v="2010-02-25T00:00:00"/>
        <d v="2012-06-08T00:00:00"/>
        <d v="2012-11-10T00:00:00"/>
        <d v="2015-11-18T00:00:00"/>
        <d v="2016-04-29T00:00:00"/>
        <d v="2016-12-31T00:00:00"/>
        <d v="2011-01-31T00:00:00"/>
        <d v="2014-11-14T00:00:00"/>
        <d v="2012-01-13T00:00:00"/>
        <d v="2010-03-18T00:00:00"/>
        <d v="2013-09-18T00:00:00"/>
        <d v="2013-03-28T00:00:00"/>
        <d v="2012-01-07T00:00:00"/>
        <d v="2013-10-24T00:00:00"/>
        <d v="2012-06-27T00:00:00"/>
        <d v="2010-08-01T00:00:00"/>
        <d v="2015-03-02T00:00:00"/>
        <d v="2012-02-14T00:00:00"/>
        <d v="2014-04-19T00:00:00"/>
        <d v="2013-07-02T00:00:00"/>
        <d v="2013-07-01T00:00:00"/>
        <d v="2011-11-15T00:00:00"/>
        <d v="2010-11-17T00:00:00"/>
        <d v="2013-11-16T00:00:00"/>
        <d v="2013-11-25T00:00:00"/>
        <d v="2012-07-09T00:00:00"/>
        <d v="2016-09-07T00:00:00"/>
        <d v="2015-05-28T00:00:00"/>
        <d v="2013-05-20T00:00:00"/>
        <d v="2015-09-30T00:00:00"/>
        <d v="2011-07-15T00:00:00"/>
        <d v="2017-06-17T00:00:00"/>
        <d v="2013-08-16T00:00:00"/>
        <d v="2014-12-12T00:00:00"/>
        <d v="2014-11-15T00:00:00"/>
        <d v="2011-10-23T00:00:00"/>
        <d v="2012-06-02T00:00:00"/>
        <d v="2013-08-07T00:00:00"/>
        <d v="2012-11-30T00:00:00"/>
        <d v="2012-10-08T00:00:00"/>
        <d v="2016-12-08T00:00:00"/>
        <d v="2011-01-05T00:00:00"/>
        <d v="2012-04-07T00:00:00"/>
        <d v="2012-03-20T00:00:00"/>
        <d v="2011-01-21T00:00:00"/>
        <d v="2014-03-20T00:00:00"/>
        <d v="2012-05-18T00:00:00"/>
        <d v="2016-11-25T00:00:00"/>
        <d v="2016-12-14T00:00:00"/>
        <d v="2014-07-11T00:00:00"/>
        <d v="2012-07-24T00:00:00"/>
        <d v="2010-12-25T00:00:00"/>
        <d v="2011-03-21T00:00:00"/>
        <d v="2011-09-03T00:00:00"/>
        <d v="2011-12-28T00:00:00"/>
        <d v="2016-06-29T00:00:00"/>
        <d v="2015-08-08T00:00:00"/>
        <d v="2012-02-15T00:00:00"/>
      </sharedItems>
    </cacheField>
    <cacheField name="Units Sold" numFmtId="0">
      <sharedItems containsSemiMixedTypes="0" containsString="0" containsNumber="1" containsInteger="1" minValue="124" maxValue="9925"/>
    </cacheField>
    <cacheField name="Unit Price" numFmtId="0">
      <sharedItems containsSemiMixedTypes="0" containsString="0" containsNumber="1" minValue="9.33" maxValue="668.27"/>
    </cacheField>
    <cacheField name="Unit Cost" numFmtId="0">
      <sharedItems containsSemiMixedTypes="0" containsString="0" containsNumber="1" minValue="6.92" maxValue="524.96"/>
    </cacheField>
    <cacheField name="Total Revenue" numFmtId="0">
      <sharedItems containsSemiMixedTypes="0" containsString="0" containsNumber="1" minValue="4870.26" maxValue="5997054.9800000004"/>
    </cacheField>
    <cacheField name="Total Cost" numFmtId="0">
      <sharedItems containsSemiMixedTypes="0" containsString="0" containsNumber="1" minValue="3612.24" maxValue="4509793.96"/>
    </cacheField>
    <cacheField name="Total Profit" numFmtId="0">
      <sharedItems containsSemiMixedTypes="0" containsString="0" containsNumber="1" minValue="1258.02" maxValue="1719922.04"/>
    </cacheField>
    <cacheField name="Quarters" numFmtId="0" databaseField="0">
      <fieldGroup base="5">
        <rangePr groupBy="quarters" startDate="2010-02-02T00:00:00" endDate="2017-05-23T00:00:00"/>
        <groupItems count="6">
          <s v="&lt;02-02-2010"/>
          <s v="Qtr1"/>
          <s v="Qtr2"/>
          <s v="Qtr3"/>
          <s v="Qtr4"/>
          <s v="&gt;23-05-2017"/>
        </groupItems>
      </fieldGroup>
    </cacheField>
    <cacheField name="Years" numFmtId="0" databaseField="0">
      <fieldGroup base="5">
        <rangePr groupBy="years" startDate="2010-02-02T00:00:00" endDate="2017-05-23T00:00:00"/>
        <groupItems count="10">
          <s v="&lt;02-02-2010"/>
          <s v="2010"/>
          <s v="2011"/>
          <s v="2012"/>
          <s v="2013"/>
          <s v="2014"/>
          <s v="2015"/>
          <s v="2016"/>
          <s v="2017"/>
          <s v="&gt;23-05-2017"/>
        </groupItems>
      </fieldGroup>
    </cacheField>
  </cacheFields>
  <extLst>
    <ext xmlns:x14="http://schemas.microsoft.com/office/spreadsheetml/2009/9/main" uri="{725AE2AE-9491-48be-B2B4-4EB974FC3084}">
      <x14:pivotCacheDefinition pivotCacheId="199542723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x v="0"/>
    <x v="0"/>
    <x v="0"/>
    <x v="0"/>
    <x v="0"/>
    <n v="669165933"/>
    <x v="0"/>
    <n v="9925"/>
    <n v="255.28"/>
    <n v="159.41999999999999"/>
    <n v="2533654"/>
    <n v="1582243.5"/>
    <n v="951410.5"/>
  </r>
  <r>
    <x v="1"/>
    <x v="1"/>
    <x v="1"/>
    <x v="1"/>
    <x v="1"/>
    <x v="1"/>
    <n v="963881480"/>
    <x v="1"/>
    <n v="2804"/>
    <n v="205.7"/>
    <n v="117.11"/>
    <n v="576782.80000000005"/>
    <n v="328376.44"/>
    <n v="248406.36"/>
  </r>
  <r>
    <x v="2"/>
    <x v="2"/>
    <x v="2"/>
    <x v="0"/>
    <x v="2"/>
    <x v="2"/>
    <n v="341417157"/>
    <x v="2"/>
    <n v="1779"/>
    <n v="651.21"/>
    <n v="524.96"/>
    <n v="1158502.5900000001"/>
    <n v="933903.84"/>
    <n v="224598.75"/>
  </r>
  <r>
    <x v="3"/>
    <x v="3"/>
    <x v="3"/>
    <x v="1"/>
    <x v="1"/>
    <x v="3"/>
    <n v="514321792"/>
    <x v="3"/>
    <n v="8102"/>
    <n v="9.33"/>
    <n v="6.92"/>
    <n v="75591.66"/>
    <n v="56065.84"/>
    <n v="19525.82"/>
  </r>
  <r>
    <x v="3"/>
    <x v="4"/>
    <x v="2"/>
    <x v="0"/>
    <x v="2"/>
    <x v="4"/>
    <n v="115456712"/>
    <x v="4"/>
    <n v="5062"/>
    <n v="651.21"/>
    <n v="524.96"/>
    <n v="3296425.02"/>
    <n v="2657347.52"/>
    <n v="639077.5"/>
  </r>
  <r>
    <x v="0"/>
    <x v="5"/>
    <x v="0"/>
    <x v="1"/>
    <x v="1"/>
    <x v="5"/>
    <n v="547995746"/>
    <x v="5"/>
    <n v="2974"/>
    <n v="255.28"/>
    <n v="159.41999999999999"/>
    <n v="759202.72"/>
    <n v="474115.08"/>
    <n v="285087.64"/>
  </r>
  <r>
    <x v="3"/>
    <x v="6"/>
    <x v="4"/>
    <x v="0"/>
    <x v="3"/>
    <x v="6"/>
    <n v="135425221"/>
    <x v="6"/>
    <n v="4187"/>
    <n v="668.27"/>
    <n v="502.54"/>
    <n v="2798046.49"/>
    <n v="2104134.98"/>
    <n v="693911.51"/>
  </r>
  <r>
    <x v="3"/>
    <x v="7"/>
    <x v="5"/>
    <x v="1"/>
    <x v="0"/>
    <x v="7"/>
    <n v="871543967"/>
    <x v="7"/>
    <n v="8082"/>
    <n v="154.06"/>
    <n v="90.93"/>
    <n v="1245112.92"/>
    <n v="734896.26"/>
    <n v="510216.66"/>
  </r>
  <r>
    <x v="3"/>
    <x v="8"/>
    <x v="6"/>
    <x v="0"/>
    <x v="3"/>
    <x v="8"/>
    <n v="770463311"/>
    <x v="8"/>
    <n v="6070"/>
    <n v="81.73"/>
    <n v="56.67"/>
    <n v="496101.1"/>
    <n v="343986.9"/>
    <n v="152114.20000000001"/>
  </r>
  <r>
    <x v="3"/>
    <x v="9"/>
    <x v="1"/>
    <x v="1"/>
    <x v="0"/>
    <x v="9"/>
    <n v="616607081"/>
    <x v="9"/>
    <n v="6593"/>
    <n v="205.7"/>
    <n v="117.11"/>
    <n v="1356180.1"/>
    <n v="772106.23"/>
    <n v="584073.87"/>
  </r>
  <r>
    <x v="4"/>
    <x v="10"/>
    <x v="5"/>
    <x v="1"/>
    <x v="0"/>
    <x v="10"/>
    <n v="814711606"/>
    <x v="10"/>
    <n v="124"/>
    <n v="154.06"/>
    <n v="90.93"/>
    <n v="19103.439999999999"/>
    <n v="11275.32"/>
    <n v="7828.12"/>
  </r>
  <r>
    <x v="3"/>
    <x v="11"/>
    <x v="7"/>
    <x v="0"/>
    <x v="0"/>
    <x v="11"/>
    <n v="939825713"/>
    <x v="11"/>
    <n v="4168"/>
    <n v="109.28"/>
    <n v="35.840000000000003"/>
    <n v="455479.03999999998"/>
    <n v="149381.12"/>
    <n v="306097.91999999998"/>
  </r>
  <r>
    <x v="4"/>
    <x v="12"/>
    <x v="7"/>
    <x v="1"/>
    <x v="2"/>
    <x v="12"/>
    <n v="187310731"/>
    <x v="12"/>
    <n v="8263"/>
    <n v="109.28"/>
    <n v="35.840000000000003"/>
    <n v="902980.64"/>
    <n v="296145.91999999998"/>
    <n v="606834.72"/>
  </r>
  <r>
    <x v="1"/>
    <x v="13"/>
    <x v="4"/>
    <x v="0"/>
    <x v="0"/>
    <x v="13"/>
    <n v="522840487"/>
    <x v="13"/>
    <n v="8974"/>
    <n v="668.27"/>
    <n v="502.54"/>
    <n v="5997054.9800000004"/>
    <n v="4509793.96"/>
    <n v="1487261.02"/>
  </r>
  <r>
    <x v="4"/>
    <x v="14"/>
    <x v="6"/>
    <x v="0"/>
    <x v="1"/>
    <x v="14"/>
    <n v="832401311"/>
    <x v="14"/>
    <n v="4901"/>
    <n v="81.73"/>
    <n v="56.67"/>
    <n v="400558.73"/>
    <n v="277739.67"/>
    <n v="122819.06"/>
  </r>
  <r>
    <x v="2"/>
    <x v="15"/>
    <x v="7"/>
    <x v="1"/>
    <x v="3"/>
    <x v="15"/>
    <n v="972292029"/>
    <x v="15"/>
    <n v="1673"/>
    <n v="109.28"/>
    <n v="35.840000000000003"/>
    <n v="182825.44"/>
    <n v="59960.32"/>
    <n v="122865.12"/>
  </r>
  <r>
    <x v="4"/>
    <x v="16"/>
    <x v="8"/>
    <x v="0"/>
    <x v="3"/>
    <x v="16"/>
    <n v="419123971"/>
    <x v="16"/>
    <n v="6952"/>
    <n v="437.2"/>
    <n v="263.33"/>
    <n v="3039414.4"/>
    <n v="1830670.16"/>
    <n v="1208744.24"/>
  </r>
  <r>
    <x v="3"/>
    <x v="17"/>
    <x v="9"/>
    <x v="0"/>
    <x v="1"/>
    <x v="17"/>
    <n v="519820964"/>
    <x v="17"/>
    <n v="5430"/>
    <n v="47.45"/>
    <n v="31.79"/>
    <n v="257653.5"/>
    <n v="172619.7"/>
    <n v="85033.8"/>
  </r>
  <r>
    <x v="4"/>
    <x v="18"/>
    <x v="4"/>
    <x v="0"/>
    <x v="2"/>
    <x v="18"/>
    <n v="441619336"/>
    <x v="18"/>
    <n v="3830"/>
    <n v="668.27"/>
    <n v="502.54"/>
    <n v="2559474.1"/>
    <n v="1924728.2"/>
    <n v="634745.9"/>
  </r>
  <r>
    <x v="0"/>
    <x v="19"/>
    <x v="10"/>
    <x v="1"/>
    <x v="2"/>
    <x v="19"/>
    <n v="322067916"/>
    <x v="19"/>
    <n v="5908"/>
    <n v="421.89"/>
    <n v="364.69"/>
    <n v="2492526.12"/>
    <n v="2154588.52"/>
    <n v="337937.6"/>
  </r>
  <r>
    <x v="2"/>
    <x v="20"/>
    <x v="0"/>
    <x v="1"/>
    <x v="2"/>
    <x v="20"/>
    <n v="819028031"/>
    <x v="20"/>
    <n v="7450"/>
    <n v="255.28"/>
    <n v="159.41999999999999"/>
    <n v="1901836"/>
    <n v="1187679"/>
    <n v="714157"/>
  </r>
  <r>
    <x v="2"/>
    <x v="21"/>
    <x v="0"/>
    <x v="1"/>
    <x v="0"/>
    <x v="21"/>
    <n v="860673511"/>
    <x v="21"/>
    <n v="1273"/>
    <n v="255.28"/>
    <n v="159.41999999999999"/>
    <n v="324971.44"/>
    <n v="202941.66"/>
    <n v="122029.78"/>
  </r>
  <r>
    <x v="1"/>
    <x v="13"/>
    <x v="11"/>
    <x v="1"/>
    <x v="2"/>
    <x v="22"/>
    <n v="795490682"/>
    <x v="22"/>
    <n v="2225"/>
    <n v="152.58000000000001"/>
    <n v="97.44"/>
    <n v="339490.5"/>
    <n v="216804"/>
    <n v="122686.5"/>
  </r>
  <r>
    <x v="0"/>
    <x v="22"/>
    <x v="3"/>
    <x v="1"/>
    <x v="0"/>
    <x v="23"/>
    <n v="142278373"/>
    <x v="23"/>
    <n v="2187"/>
    <n v="9.33"/>
    <n v="6.92"/>
    <n v="20404.71"/>
    <n v="15134.04"/>
    <n v="5270.67"/>
  </r>
  <r>
    <x v="2"/>
    <x v="23"/>
    <x v="6"/>
    <x v="1"/>
    <x v="2"/>
    <x v="24"/>
    <n v="740147912"/>
    <x v="24"/>
    <n v="5070"/>
    <n v="81.73"/>
    <n v="56.67"/>
    <n v="414371.1"/>
    <n v="287316.90000000002"/>
    <n v="127054.2"/>
  </r>
  <r>
    <x v="2"/>
    <x v="24"/>
    <x v="8"/>
    <x v="1"/>
    <x v="0"/>
    <x v="25"/>
    <n v="898523128"/>
    <x v="25"/>
    <n v="1815"/>
    <n v="437.2"/>
    <n v="263.33"/>
    <n v="793518"/>
    <n v="477943.95"/>
    <n v="315574.05"/>
  </r>
  <r>
    <x v="0"/>
    <x v="25"/>
    <x v="3"/>
    <x v="1"/>
    <x v="3"/>
    <x v="26"/>
    <n v="347140347"/>
    <x v="26"/>
    <n v="5398"/>
    <n v="9.33"/>
    <n v="6.92"/>
    <n v="50363.34"/>
    <n v="37354.160000000003"/>
    <n v="13009.18"/>
  </r>
  <r>
    <x v="3"/>
    <x v="26"/>
    <x v="3"/>
    <x v="1"/>
    <x v="2"/>
    <x v="27"/>
    <n v="686048400"/>
    <x v="27"/>
    <n v="5822"/>
    <n v="9.33"/>
    <n v="6.92"/>
    <n v="54319.26"/>
    <n v="40288.239999999998"/>
    <n v="14031.02"/>
  </r>
  <r>
    <x v="2"/>
    <x v="20"/>
    <x v="9"/>
    <x v="0"/>
    <x v="1"/>
    <x v="28"/>
    <n v="435608613"/>
    <x v="28"/>
    <n v="5124"/>
    <n v="47.45"/>
    <n v="31.79"/>
    <n v="243133.8"/>
    <n v="162891.96"/>
    <n v="80241.84"/>
  </r>
  <r>
    <x v="3"/>
    <x v="27"/>
    <x v="4"/>
    <x v="0"/>
    <x v="2"/>
    <x v="29"/>
    <n v="886494815"/>
    <x v="29"/>
    <n v="2370"/>
    <n v="668.27"/>
    <n v="502.54"/>
    <n v="1583799.9"/>
    <n v="1191019.8"/>
    <n v="392780.1"/>
  </r>
  <r>
    <x v="2"/>
    <x v="28"/>
    <x v="8"/>
    <x v="0"/>
    <x v="3"/>
    <x v="30"/>
    <n v="249693334"/>
    <x v="30"/>
    <n v="8661"/>
    <n v="437.2"/>
    <n v="263.33"/>
    <n v="3786589.2"/>
    <n v="2280701.13"/>
    <n v="1505888.07"/>
  </r>
  <r>
    <x v="3"/>
    <x v="29"/>
    <x v="6"/>
    <x v="0"/>
    <x v="1"/>
    <x v="31"/>
    <n v="406502997"/>
    <x v="31"/>
    <n v="2125"/>
    <n v="81.73"/>
    <n v="56.67"/>
    <n v="173676.25"/>
    <n v="120423.75"/>
    <n v="53252.5"/>
  </r>
  <r>
    <x v="0"/>
    <x v="30"/>
    <x v="2"/>
    <x v="1"/>
    <x v="1"/>
    <x v="32"/>
    <n v="158535134"/>
    <x v="32"/>
    <n v="2924"/>
    <n v="651.21"/>
    <n v="524.96"/>
    <n v="1904138.04"/>
    <n v="1534983.04"/>
    <n v="369155"/>
  </r>
  <r>
    <x v="4"/>
    <x v="31"/>
    <x v="4"/>
    <x v="0"/>
    <x v="0"/>
    <x v="33"/>
    <n v="177713572"/>
    <x v="33"/>
    <n v="8250"/>
    <n v="668.27"/>
    <n v="502.54"/>
    <n v="5513227.5"/>
    <n v="4145955"/>
    <n v="1367272.5"/>
  </r>
  <r>
    <x v="3"/>
    <x v="32"/>
    <x v="11"/>
    <x v="1"/>
    <x v="3"/>
    <x v="34"/>
    <n v="756274640"/>
    <x v="34"/>
    <n v="7327"/>
    <n v="152.58000000000001"/>
    <n v="97.44"/>
    <n v="1117953.6599999999"/>
    <n v="713942.88"/>
    <n v="404010.78"/>
  </r>
  <r>
    <x v="1"/>
    <x v="33"/>
    <x v="6"/>
    <x v="0"/>
    <x v="2"/>
    <x v="35"/>
    <n v="456767165"/>
    <x v="35"/>
    <n v="6409"/>
    <n v="81.73"/>
    <n v="56.67"/>
    <n v="523807.57"/>
    <n v="363198.03"/>
    <n v="160609.54"/>
  </r>
  <r>
    <x v="5"/>
    <x v="34"/>
    <x v="3"/>
    <x v="1"/>
    <x v="2"/>
    <x v="36"/>
    <n v="162052476"/>
    <x v="36"/>
    <n v="3784"/>
    <n v="9.33"/>
    <n v="6.92"/>
    <n v="35304.720000000001"/>
    <n v="26185.279999999999"/>
    <n v="9119.44"/>
  </r>
  <r>
    <x v="3"/>
    <x v="27"/>
    <x v="10"/>
    <x v="1"/>
    <x v="3"/>
    <x v="37"/>
    <n v="825304400"/>
    <x v="37"/>
    <n v="4767"/>
    <n v="421.89"/>
    <n v="364.69"/>
    <n v="2011149.63"/>
    <n v="1738477.23"/>
    <n v="272672.40000000002"/>
  </r>
  <r>
    <x v="4"/>
    <x v="35"/>
    <x v="2"/>
    <x v="1"/>
    <x v="2"/>
    <x v="38"/>
    <n v="320009267"/>
    <x v="38"/>
    <n v="6708"/>
    <n v="651.21"/>
    <n v="524.96"/>
    <n v="4368316.68"/>
    <n v="3521431.68"/>
    <n v="846885"/>
  </r>
  <r>
    <x v="2"/>
    <x v="15"/>
    <x v="2"/>
    <x v="1"/>
    <x v="3"/>
    <x v="39"/>
    <n v="189965903"/>
    <x v="39"/>
    <n v="3987"/>
    <n v="651.21"/>
    <n v="524.96"/>
    <n v="2596374.27"/>
    <n v="2093015.52"/>
    <n v="503358.75"/>
  </r>
  <r>
    <x v="3"/>
    <x v="36"/>
    <x v="6"/>
    <x v="1"/>
    <x v="0"/>
    <x v="40"/>
    <n v="699285638"/>
    <x v="40"/>
    <n v="3015"/>
    <n v="81.73"/>
    <n v="56.67"/>
    <n v="246415.95"/>
    <n v="170860.05"/>
    <n v="75555.899999999994"/>
  </r>
  <r>
    <x v="5"/>
    <x v="37"/>
    <x v="8"/>
    <x v="1"/>
    <x v="3"/>
    <x v="41"/>
    <n v="382392299"/>
    <x v="41"/>
    <n v="7234"/>
    <n v="437.2"/>
    <n v="263.33"/>
    <n v="3162704.8"/>
    <n v="1904929.22"/>
    <n v="1257775.58"/>
  </r>
  <r>
    <x v="3"/>
    <x v="27"/>
    <x v="1"/>
    <x v="0"/>
    <x v="0"/>
    <x v="42"/>
    <n v="994022214"/>
    <x v="42"/>
    <n v="2117"/>
    <n v="205.7"/>
    <n v="117.11"/>
    <n v="435466.9"/>
    <n v="247921.87"/>
    <n v="187545.03"/>
  </r>
  <r>
    <x v="2"/>
    <x v="38"/>
    <x v="5"/>
    <x v="1"/>
    <x v="0"/>
    <x v="43"/>
    <n v="759224212"/>
    <x v="43"/>
    <n v="171"/>
    <n v="154.06"/>
    <n v="90.93"/>
    <n v="26344.26"/>
    <n v="15549.03"/>
    <n v="10795.23"/>
  </r>
  <r>
    <x v="4"/>
    <x v="31"/>
    <x v="7"/>
    <x v="1"/>
    <x v="0"/>
    <x v="44"/>
    <n v="223359620"/>
    <x v="44"/>
    <n v="5930"/>
    <n v="109.28"/>
    <n v="35.840000000000003"/>
    <n v="648030.4"/>
    <n v="212531.20000000001"/>
    <n v="435499.2"/>
  </r>
  <r>
    <x v="3"/>
    <x v="39"/>
    <x v="1"/>
    <x v="0"/>
    <x v="0"/>
    <x v="45"/>
    <n v="902102267"/>
    <x v="45"/>
    <n v="962"/>
    <n v="205.7"/>
    <n v="117.11"/>
    <n v="197883.4"/>
    <n v="112659.82"/>
    <n v="85223.58"/>
  </r>
  <r>
    <x v="2"/>
    <x v="40"/>
    <x v="8"/>
    <x v="1"/>
    <x v="1"/>
    <x v="46"/>
    <n v="331438481"/>
    <x v="46"/>
    <n v="8867"/>
    <n v="437.2"/>
    <n v="263.33"/>
    <n v="3876652.4"/>
    <n v="2334947.11"/>
    <n v="1541705.29"/>
  </r>
  <r>
    <x v="2"/>
    <x v="28"/>
    <x v="6"/>
    <x v="1"/>
    <x v="3"/>
    <x v="47"/>
    <n v="617667090"/>
    <x v="47"/>
    <n v="273"/>
    <n v="81.73"/>
    <n v="56.67"/>
    <n v="22312.29"/>
    <n v="15470.91"/>
    <n v="6841.38"/>
  </r>
  <r>
    <x v="2"/>
    <x v="41"/>
    <x v="7"/>
    <x v="0"/>
    <x v="1"/>
    <x v="48"/>
    <n v="787399423"/>
    <x v="48"/>
    <n v="7842"/>
    <n v="109.28"/>
    <n v="35.840000000000003"/>
    <n v="856973.76"/>
    <n v="281057.28000000003"/>
    <n v="575916.48"/>
  </r>
  <r>
    <x v="3"/>
    <x v="42"/>
    <x v="2"/>
    <x v="0"/>
    <x v="1"/>
    <x v="49"/>
    <n v="837559306"/>
    <x v="49"/>
    <n v="1266"/>
    <n v="651.21"/>
    <n v="524.96"/>
    <n v="824431.86"/>
    <n v="664599.36"/>
    <n v="159832.5"/>
  </r>
  <r>
    <x v="2"/>
    <x v="43"/>
    <x v="7"/>
    <x v="1"/>
    <x v="1"/>
    <x v="50"/>
    <n v="385383069"/>
    <x v="50"/>
    <n v="2269"/>
    <n v="109.28"/>
    <n v="35.840000000000003"/>
    <n v="247956.32"/>
    <n v="81320.960000000006"/>
    <n v="166635.35999999999"/>
  </r>
  <r>
    <x v="3"/>
    <x v="44"/>
    <x v="3"/>
    <x v="1"/>
    <x v="2"/>
    <x v="51"/>
    <n v="918419539"/>
    <x v="51"/>
    <n v="9606"/>
    <n v="9.33"/>
    <n v="6.92"/>
    <n v="89623.98"/>
    <n v="66473.52"/>
    <n v="23150.46"/>
  </r>
  <r>
    <x v="5"/>
    <x v="45"/>
    <x v="1"/>
    <x v="1"/>
    <x v="3"/>
    <x v="52"/>
    <n v="844530045"/>
    <x v="52"/>
    <n v="4063"/>
    <n v="205.7"/>
    <n v="117.11"/>
    <n v="835759.1"/>
    <n v="475817.93"/>
    <n v="359941.17"/>
  </r>
  <r>
    <x v="3"/>
    <x v="46"/>
    <x v="2"/>
    <x v="0"/>
    <x v="3"/>
    <x v="53"/>
    <n v="441888415"/>
    <x v="53"/>
    <n v="3457"/>
    <n v="651.21"/>
    <n v="524.96"/>
    <n v="2251232.9700000002"/>
    <n v="1814786.72"/>
    <n v="436446.25"/>
  </r>
  <r>
    <x v="3"/>
    <x v="3"/>
    <x v="3"/>
    <x v="0"/>
    <x v="0"/>
    <x v="54"/>
    <n v="508980977"/>
    <x v="54"/>
    <n v="7637"/>
    <n v="9.33"/>
    <n v="6.92"/>
    <n v="71253.210000000006"/>
    <n v="52848.04"/>
    <n v="18405.169999999998"/>
  </r>
  <r>
    <x v="3"/>
    <x v="47"/>
    <x v="7"/>
    <x v="1"/>
    <x v="1"/>
    <x v="55"/>
    <n v="114606559"/>
    <x v="55"/>
    <n v="3482"/>
    <n v="109.28"/>
    <n v="35.840000000000003"/>
    <n v="380512.96"/>
    <n v="124794.88"/>
    <n v="255718.08"/>
  </r>
  <r>
    <x v="0"/>
    <x v="48"/>
    <x v="7"/>
    <x v="0"/>
    <x v="1"/>
    <x v="56"/>
    <n v="647876489"/>
    <x v="56"/>
    <n v="9905"/>
    <n v="109.28"/>
    <n v="35.840000000000003"/>
    <n v="1082418.3999999999"/>
    <n v="354995.20000000001"/>
    <n v="727423.2"/>
  </r>
  <r>
    <x v="2"/>
    <x v="49"/>
    <x v="8"/>
    <x v="0"/>
    <x v="0"/>
    <x v="57"/>
    <n v="868214595"/>
    <x v="57"/>
    <n v="2847"/>
    <n v="437.2"/>
    <n v="263.33"/>
    <n v="1244708.3999999999"/>
    <n v="749700.51"/>
    <n v="495007.89"/>
  </r>
  <r>
    <x v="2"/>
    <x v="50"/>
    <x v="4"/>
    <x v="1"/>
    <x v="2"/>
    <x v="58"/>
    <n v="955357205"/>
    <x v="58"/>
    <n v="282"/>
    <n v="668.27"/>
    <n v="502.54"/>
    <n v="188452.14"/>
    <n v="141716.28"/>
    <n v="46735.86"/>
  </r>
  <r>
    <x v="3"/>
    <x v="32"/>
    <x v="8"/>
    <x v="0"/>
    <x v="0"/>
    <x v="59"/>
    <n v="259353148"/>
    <x v="59"/>
    <n v="7215"/>
    <n v="437.2"/>
    <n v="263.33"/>
    <n v="3154398"/>
    <n v="1899925.95"/>
    <n v="1254472.05"/>
  </r>
  <r>
    <x v="0"/>
    <x v="30"/>
    <x v="1"/>
    <x v="0"/>
    <x v="0"/>
    <x v="60"/>
    <n v="450563752"/>
    <x v="60"/>
    <n v="682"/>
    <n v="205.7"/>
    <n v="117.11"/>
    <n v="140287.4"/>
    <n v="79869.02"/>
    <n v="60418.38"/>
  </r>
  <r>
    <x v="2"/>
    <x v="51"/>
    <x v="0"/>
    <x v="1"/>
    <x v="2"/>
    <x v="61"/>
    <n v="569662845"/>
    <x v="61"/>
    <n v="4750"/>
    <n v="255.28"/>
    <n v="159.41999999999999"/>
    <n v="1212580"/>
    <n v="757245"/>
    <n v="455335"/>
  </r>
  <r>
    <x v="3"/>
    <x v="17"/>
    <x v="2"/>
    <x v="1"/>
    <x v="3"/>
    <x v="62"/>
    <n v="177636754"/>
    <x v="62"/>
    <n v="5518"/>
    <n v="651.21"/>
    <n v="524.96"/>
    <n v="3593376.78"/>
    <n v="2896729.28"/>
    <n v="696647.5"/>
  </r>
  <r>
    <x v="5"/>
    <x v="52"/>
    <x v="7"/>
    <x v="0"/>
    <x v="0"/>
    <x v="63"/>
    <n v="705784308"/>
    <x v="63"/>
    <n v="6116"/>
    <n v="109.28"/>
    <n v="35.840000000000003"/>
    <n v="668356.48"/>
    <n v="219197.44"/>
    <n v="449159.04"/>
  </r>
  <r>
    <x v="1"/>
    <x v="53"/>
    <x v="8"/>
    <x v="0"/>
    <x v="0"/>
    <x v="64"/>
    <n v="505716836"/>
    <x v="64"/>
    <n v="1705"/>
    <n v="437.2"/>
    <n v="263.33"/>
    <n v="745426"/>
    <n v="448977.65"/>
    <n v="296448.34999999998"/>
  </r>
  <r>
    <x v="3"/>
    <x v="4"/>
    <x v="8"/>
    <x v="0"/>
    <x v="0"/>
    <x v="65"/>
    <n v="699358165"/>
    <x v="65"/>
    <n v="4477"/>
    <n v="437.2"/>
    <n v="263.33"/>
    <n v="1957344.4"/>
    <n v="1178928.4099999999"/>
    <n v="778415.99"/>
  </r>
  <r>
    <x v="3"/>
    <x v="54"/>
    <x v="6"/>
    <x v="0"/>
    <x v="2"/>
    <x v="66"/>
    <n v="228944623"/>
    <x v="66"/>
    <n v="8656"/>
    <n v="81.73"/>
    <n v="56.67"/>
    <n v="707454.88"/>
    <n v="490535.52"/>
    <n v="216919.36"/>
  </r>
  <r>
    <x v="1"/>
    <x v="55"/>
    <x v="7"/>
    <x v="0"/>
    <x v="3"/>
    <x v="67"/>
    <n v="807025039"/>
    <x v="67"/>
    <n v="5498"/>
    <n v="109.28"/>
    <n v="35.840000000000003"/>
    <n v="600821.43999999994"/>
    <n v="197048.32000000001"/>
    <n v="403773.12"/>
  </r>
  <r>
    <x v="2"/>
    <x v="56"/>
    <x v="2"/>
    <x v="0"/>
    <x v="0"/>
    <x v="68"/>
    <n v="166460740"/>
    <x v="63"/>
    <n v="8287"/>
    <n v="651.21"/>
    <n v="524.96"/>
    <n v="5396577.2699999996"/>
    <n v="4350343.5199999996"/>
    <n v="1046233.75"/>
  </r>
  <r>
    <x v="3"/>
    <x v="57"/>
    <x v="7"/>
    <x v="0"/>
    <x v="2"/>
    <x v="69"/>
    <n v="610425555"/>
    <x v="68"/>
    <n v="7342"/>
    <n v="109.28"/>
    <n v="35.840000000000003"/>
    <n v="802333.76"/>
    <n v="263137.28000000003"/>
    <n v="539196.48"/>
  </r>
  <r>
    <x v="4"/>
    <x v="18"/>
    <x v="2"/>
    <x v="1"/>
    <x v="3"/>
    <x v="70"/>
    <n v="462405812"/>
    <x v="69"/>
    <n v="5010"/>
    <n v="651.21"/>
    <n v="524.96"/>
    <n v="3262562.1"/>
    <n v="2630049.6"/>
    <n v="632512.5"/>
  </r>
  <r>
    <x v="5"/>
    <x v="52"/>
    <x v="3"/>
    <x v="1"/>
    <x v="2"/>
    <x v="71"/>
    <n v="816200339"/>
    <x v="70"/>
    <n v="673"/>
    <n v="9.33"/>
    <n v="6.92"/>
    <n v="6279.09"/>
    <n v="4657.16"/>
    <n v="1621.93"/>
  </r>
  <r>
    <x v="3"/>
    <x v="58"/>
    <x v="9"/>
    <x v="1"/>
    <x v="1"/>
    <x v="72"/>
    <n v="585920464"/>
    <x v="71"/>
    <n v="5741"/>
    <n v="47.45"/>
    <n v="31.79"/>
    <n v="272410.45"/>
    <n v="182506.39"/>
    <n v="89904.06"/>
  </r>
  <r>
    <x v="3"/>
    <x v="32"/>
    <x v="1"/>
    <x v="1"/>
    <x v="0"/>
    <x v="73"/>
    <n v="555990016"/>
    <x v="72"/>
    <n v="8656"/>
    <n v="205.7"/>
    <n v="117.11"/>
    <n v="1780539.2"/>
    <n v="1013704.16"/>
    <n v="766835.04"/>
  </r>
  <r>
    <x v="5"/>
    <x v="59"/>
    <x v="8"/>
    <x v="0"/>
    <x v="2"/>
    <x v="74"/>
    <n v="231145322"/>
    <x v="73"/>
    <n v="9892"/>
    <n v="437.2"/>
    <n v="263.33"/>
    <n v="4324782.4000000004"/>
    <n v="2604860.36"/>
    <n v="1719922.04"/>
  </r>
  <r>
    <x v="6"/>
    <x v="60"/>
    <x v="4"/>
    <x v="0"/>
    <x v="1"/>
    <x v="75"/>
    <n v="986435210"/>
    <x v="74"/>
    <n v="6954"/>
    <n v="668.27"/>
    <n v="502.54"/>
    <n v="4647149.58"/>
    <n v="3494663.16"/>
    <n v="1152486.42"/>
  </r>
  <r>
    <x v="0"/>
    <x v="61"/>
    <x v="9"/>
    <x v="1"/>
    <x v="1"/>
    <x v="76"/>
    <n v="217221009"/>
    <x v="75"/>
    <n v="9379"/>
    <n v="47.45"/>
    <n v="31.79"/>
    <n v="445033.55"/>
    <n v="298158.40999999997"/>
    <n v="146875.14000000001"/>
  </r>
  <r>
    <x v="4"/>
    <x v="62"/>
    <x v="5"/>
    <x v="0"/>
    <x v="1"/>
    <x v="77"/>
    <n v="789176547"/>
    <x v="76"/>
    <n v="3732"/>
    <n v="154.06"/>
    <n v="90.93"/>
    <n v="574951.92000000004"/>
    <n v="339350.76"/>
    <n v="235601.16"/>
  </r>
  <r>
    <x v="2"/>
    <x v="63"/>
    <x v="0"/>
    <x v="0"/>
    <x v="0"/>
    <x v="78"/>
    <n v="688288152"/>
    <x v="77"/>
    <n v="8614"/>
    <n v="255.28"/>
    <n v="159.41999999999999"/>
    <n v="2198981.92"/>
    <n v="1373243.88"/>
    <n v="825738.04"/>
  </r>
  <r>
    <x v="0"/>
    <x v="64"/>
    <x v="8"/>
    <x v="1"/>
    <x v="0"/>
    <x v="79"/>
    <n v="670854651"/>
    <x v="78"/>
    <n v="9654"/>
    <n v="437.2"/>
    <n v="263.33"/>
    <n v="4220728.8"/>
    <n v="2542187.8199999998"/>
    <n v="1678540.98"/>
  </r>
  <r>
    <x v="2"/>
    <x v="65"/>
    <x v="4"/>
    <x v="0"/>
    <x v="2"/>
    <x v="80"/>
    <n v="213487374"/>
    <x v="79"/>
    <n v="4513"/>
    <n v="668.27"/>
    <n v="502.54"/>
    <n v="3015902.51"/>
    <n v="2267963.02"/>
    <n v="747939.49"/>
  </r>
  <r>
    <x v="5"/>
    <x v="66"/>
    <x v="7"/>
    <x v="1"/>
    <x v="2"/>
    <x v="81"/>
    <n v="663110148"/>
    <x v="80"/>
    <n v="7884"/>
    <n v="109.28"/>
    <n v="35.840000000000003"/>
    <n v="861563.52"/>
    <n v="282562.56"/>
    <n v="579000.96"/>
  </r>
  <r>
    <x v="5"/>
    <x v="67"/>
    <x v="8"/>
    <x v="1"/>
    <x v="0"/>
    <x v="82"/>
    <n v="286959302"/>
    <x v="81"/>
    <n v="6489"/>
    <n v="437.2"/>
    <n v="263.33"/>
    <n v="2836990.8"/>
    <n v="1708748.37"/>
    <n v="1128242.43"/>
  </r>
  <r>
    <x v="3"/>
    <x v="68"/>
    <x v="11"/>
    <x v="1"/>
    <x v="2"/>
    <x v="83"/>
    <n v="122583663"/>
    <x v="82"/>
    <n v="4085"/>
    <n v="152.58000000000001"/>
    <n v="97.44"/>
    <n v="623289.30000000005"/>
    <n v="398042.4"/>
    <n v="225246.9"/>
  </r>
  <r>
    <x v="3"/>
    <x v="69"/>
    <x v="5"/>
    <x v="1"/>
    <x v="2"/>
    <x v="84"/>
    <n v="827844560"/>
    <x v="83"/>
    <n v="6457"/>
    <n v="154.06"/>
    <n v="90.93"/>
    <n v="994765.42"/>
    <n v="587135.01"/>
    <n v="407630.41"/>
  </r>
  <r>
    <x v="6"/>
    <x v="60"/>
    <x v="6"/>
    <x v="0"/>
    <x v="2"/>
    <x v="85"/>
    <n v="430915820"/>
    <x v="84"/>
    <n v="6422"/>
    <n v="81.73"/>
    <n v="56.67"/>
    <n v="524870.06000000006"/>
    <n v="363934.74"/>
    <n v="160935.32"/>
  </r>
  <r>
    <x v="3"/>
    <x v="3"/>
    <x v="9"/>
    <x v="0"/>
    <x v="1"/>
    <x v="86"/>
    <n v="180283772"/>
    <x v="85"/>
    <n v="8829"/>
    <n v="47.45"/>
    <n v="31.79"/>
    <n v="418936.05"/>
    <n v="280673.90999999997"/>
    <n v="138262.14000000001"/>
  </r>
  <r>
    <x v="3"/>
    <x v="27"/>
    <x v="0"/>
    <x v="0"/>
    <x v="3"/>
    <x v="87"/>
    <n v="494747245"/>
    <x v="86"/>
    <n v="5559"/>
    <n v="255.28"/>
    <n v="159.41999999999999"/>
    <n v="1419101.52"/>
    <n v="886215.78"/>
    <n v="532885.74"/>
  </r>
  <r>
    <x v="5"/>
    <x v="70"/>
    <x v="3"/>
    <x v="1"/>
    <x v="3"/>
    <x v="88"/>
    <n v="513417565"/>
    <x v="87"/>
    <n v="522"/>
    <n v="9.33"/>
    <n v="6.92"/>
    <n v="4870.26"/>
    <n v="3612.24"/>
    <n v="1258.02"/>
  </r>
  <r>
    <x v="2"/>
    <x v="71"/>
    <x v="9"/>
    <x v="0"/>
    <x v="1"/>
    <x v="89"/>
    <n v="345718562"/>
    <x v="88"/>
    <n v="4660"/>
    <n v="47.45"/>
    <n v="31.79"/>
    <n v="221117"/>
    <n v="148141.4"/>
    <n v="72975.600000000006"/>
  </r>
  <r>
    <x v="3"/>
    <x v="46"/>
    <x v="2"/>
    <x v="0"/>
    <x v="0"/>
    <x v="90"/>
    <n v="621386563"/>
    <x v="89"/>
    <n v="948"/>
    <n v="651.21"/>
    <n v="524.96"/>
    <n v="617347.07999999996"/>
    <n v="497662.08"/>
    <n v="119685"/>
  </r>
  <r>
    <x v="0"/>
    <x v="30"/>
    <x v="9"/>
    <x v="0"/>
    <x v="0"/>
    <x v="91"/>
    <n v="240470397"/>
    <x v="90"/>
    <n v="9389"/>
    <n v="47.45"/>
    <n v="31.79"/>
    <n v="445508.05"/>
    <n v="298476.31"/>
    <n v="147031.74"/>
  </r>
  <r>
    <x v="5"/>
    <x v="37"/>
    <x v="2"/>
    <x v="1"/>
    <x v="3"/>
    <x v="92"/>
    <n v="423331391"/>
    <x v="91"/>
    <n v="2021"/>
    <n v="651.21"/>
    <n v="524.96"/>
    <n v="1316095.4099999999"/>
    <n v="1060944.1599999999"/>
    <n v="255151.25"/>
  </r>
  <r>
    <x v="2"/>
    <x v="72"/>
    <x v="8"/>
    <x v="1"/>
    <x v="0"/>
    <x v="93"/>
    <n v="660643374"/>
    <x v="92"/>
    <n v="7910"/>
    <n v="437.2"/>
    <n v="263.33"/>
    <n v="3458252"/>
    <n v="2082940.3"/>
    <n v="1375311.7"/>
  </r>
  <r>
    <x v="1"/>
    <x v="73"/>
    <x v="9"/>
    <x v="0"/>
    <x v="1"/>
    <x v="94"/>
    <n v="963392674"/>
    <x v="93"/>
    <n v="8156"/>
    <n v="47.45"/>
    <n v="31.79"/>
    <n v="387002.2"/>
    <n v="259279.24"/>
    <n v="127722.96"/>
  </r>
  <r>
    <x v="3"/>
    <x v="26"/>
    <x v="7"/>
    <x v="1"/>
    <x v="3"/>
    <x v="95"/>
    <n v="512878119"/>
    <x v="94"/>
    <n v="888"/>
    <n v="109.28"/>
    <n v="35.840000000000003"/>
    <n v="97040.639999999999"/>
    <n v="31825.919999999998"/>
    <n v="65214.720000000001"/>
  </r>
  <r>
    <x v="4"/>
    <x v="74"/>
    <x v="3"/>
    <x v="0"/>
    <x v="2"/>
    <x v="96"/>
    <n v="810711038"/>
    <x v="95"/>
    <n v="6267"/>
    <n v="9.33"/>
    <n v="6.92"/>
    <n v="58471.11"/>
    <n v="43367.64"/>
    <n v="15103.47"/>
  </r>
  <r>
    <x v="3"/>
    <x v="46"/>
    <x v="5"/>
    <x v="0"/>
    <x v="1"/>
    <x v="97"/>
    <n v="728815257"/>
    <x v="96"/>
    <n v="1485"/>
    <n v="154.06"/>
    <n v="90.93"/>
    <n v="228779.1"/>
    <n v="135031.04999999999"/>
    <n v="93748.05"/>
  </r>
  <r>
    <x v="6"/>
    <x v="60"/>
    <x v="6"/>
    <x v="0"/>
    <x v="3"/>
    <x v="98"/>
    <n v="559427106"/>
    <x v="97"/>
    <n v="5767"/>
    <n v="81.73"/>
    <n v="56.67"/>
    <n v="471336.91"/>
    <n v="326815.89"/>
    <n v="144521.01999999999"/>
  </r>
  <r>
    <x v="3"/>
    <x v="75"/>
    <x v="4"/>
    <x v="0"/>
    <x v="2"/>
    <x v="99"/>
    <n v="665095412"/>
    <x v="98"/>
    <n v="5367"/>
    <n v="668.27"/>
    <n v="502.54"/>
    <n v="3586605.09"/>
    <n v="2697132.18"/>
    <n v="889472.9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B682A5-75D5-4528-8399-00A6787F8274}"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3">
  <location ref="A1:C14" firstHeaderRow="0" firstDataRow="1" firstDataCol="1"/>
  <pivotFields count="16">
    <pivotField showAll="0">
      <items count="8">
        <item x="4"/>
        <item x="0"/>
        <item x="1"/>
        <item x="2"/>
        <item x="5"/>
        <item x="6"/>
        <item x="3"/>
        <item t="default"/>
      </items>
    </pivotField>
    <pivotField showAll="0">
      <items count="77">
        <item x="43"/>
        <item x="6"/>
        <item x="30"/>
        <item x="49"/>
        <item x="37"/>
        <item x="12"/>
        <item x="55"/>
        <item x="35"/>
        <item x="15"/>
        <item x="7"/>
        <item x="17"/>
        <item x="11"/>
        <item x="39"/>
        <item x="33"/>
        <item x="47"/>
        <item x="58"/>
        <item x="32"/>
        <item x="19"/>
        <item x="61"/>
        <item x="48"/>
        <item x="24"/>
        <item x="54"/>
        <item x="1"/>
        <item x="53"/>
        <item x="13"/>
        <item x="40"/>
        <item x="67"/>
        <item x="69"/>
        <item x="25"/>
        <item x="70"/>
        <item x="10"/>
        <item x="62"/>
        <item x="66"/>
        <item x="44"/>
        <item x="52"/>
        <item x="56"/>
        <item x="41"/>
        <item x="57"/>
        <item x="74"/>
        <item x="26"/>
        <item x="42"/>
        <item x="60"/>
        <item x="23"/>
        <item x="63"/>
        <item x="14"/>
        <item x="75"/>
        <item x="31"/>
        <item x="22"/>
        <item x="73"/>
        <item x="36"/>
        <item x="20"/>
        <item x="59"/>
        <item x="21"/>
        <item x="8"/>
        <item x="72"/>
        <item x="2"/>
        <item x="4"/>
        <item x="64"/>
        <item x="51"/>
        <item x="3"/>
        <item x="45"/>
        <item x="9"/>
        <item x="46"/>
        <item x="38"/>
        <item x="71"/>
        <item x="5"/>
        <item x="29"/>
        <item x="65"/>
        <item x="16"/>
        <item x="28"/>
        <item x="34"/>
        <item x="27"/>
        <item x="18"/>
        <item x="0"/>
        <item x="50"/>
        <item x="68"/>
        <item t="default"/>
      </items>
    </pivotField>
    <pivotField showAll="0">
      <items count="13">
        <item x="0"/>
        <item x="9"/>
        <item x="1"/>
        <item x="7"/>
        <item x="8"/>
        <item x="3"/>
        <item x="4"/>
        <item x="10"/>
        <item x="2"/>
        <item x="6"/>
        <item x="11"/>
        <item x="5"/>
        <item t="default"/>
      </items>
    </pivotField>
    <pivotField showAll="0">
      <items count="3">
        <item x="0"/>
        <item x="1"/>
        <item t="default"/>
      </items>
    </pivotField>
    <pivotField showAll="0"/>
    <pivotField axis="axisRow" numFmtId="14" showAll="0">
      <items count="15">
        <item x="0"/>
        <item x="1"/>
        <item x="2"/>
        <item x="3"/>
        <item x="4"/>
        <item x="5"/>
        <item x="6"/>
        <item x="7"/>
        <item x="8"/>
        <item x="9"/>
        <item x="10"/>
        <item x="11"/>
        <item x="12"/>
        <item x="13"/>
        <item t="default"/>
      </items>
    </pivotField>
    <pivotField showAll="0"/>
    <pivotField numFmtId="14" showAll="0"/>
    <pivotField showAll="0"/>
    <pivotField showAll="0"/>
    <pivotField showAll="0"/>
    <pivotField dataField="1" showAll="0"/>
    <pivotField showAll="0"/>
    <pivotField dataField="1" showAll="0"/>
    <pivotField showAll="0">
      <items count="7">
        <item sd="0" x="0"/>
        <item sd="0" x="1"/>
        <item sd="0" x="2"/>
        <item sd="0" x="3"/>
        <item sd="0" x="4"/>
        <item sd="0" x="5"/>
        <item t="default"/>
      </items>
    </pivotField>
    <pivotField showAll="0">
      <items count="11">
        <item sd="0" x="0"/>
        <item sd="0" x="1"/>
        <item sd="0" x="2"/>
        <item sd="0" x="3"/>
        <item sd="0" x="4"/>
        <item sd="0" x="5"/>
        <item sd="0" x="6"/>
        <item sd="0" x="7"/>
        <item sd="0" x="8"/>
        <item sd="0" x="9"/>
        <item t="default"/>
      </items>
    </pivotField>
  </pivotFields>
  <rowFields count="1">
    <field x="5"/>
  </rowFields>
  <rowItems count="13">
    <i>
      <x v="1"/>
    </i>
    <i>
      <x v="2"/>
    </i>
    <i>
      <x v="3"/>
    </i>
    <i>
      <x v="4"/>
    </i>
    <i>
      <x v="5"/>
    </i>
    <i>
      <x v="6"/>
    </i>
    <i>
      <x v="7"/>
    </i>
    <i>
      <x v="8"/>
    </i>
    <i>
      <x v="9"/>
    </i>
    <i>
      <x v="10"/>
    </i>
    <i>
      <x v="11"/>
    </i>
    <i>
      <x v="12"/>
    </i>
    <i t="grand">
      <x/>
    </i>
  </rowItems>
  <colFields count="1">
    <field x="-2"/>
  </colFields>
  <colItems count="2">
    <i>
      <x/>
    </i>
    <i i="1">
      <x v="1"/>
    </i>
  </colItems>
  <dataFields count="2">
    <dataField name="Sum of Total Profit" fld="13" baseField="0" baseItem="0"/>
    <dataField name="Sum of Total Revenue" fld="11" baseField="0" baseItem="0"/>
  </dataFields>
  <chartFormats count="10">
    <chartFormat chart="9" format="28" series="1">
      <pivotArea type="data" outline="0" fieldPosition="0">
        <references count="1">
          <reference field="4294967294" count="1" selected="0">
            <x v="0"/>
          </reference>
        </references>
      </pivotArea>
    </chartFormat>
    <chartFormat chart="4" format="24" series="1">
      <pivotArea type="data" outline="0" fieldPosition="0">
        <references count="1">
          <reference field="4294967294" count="1" selected="0">
            <x v="0"/>
          </reference>
        </references>
      </pivotArea>
    </chartFormat>
    <chartFormat chart="9" format="29" series="1">
      <pivotArea type="data" outline="0" fieldPosition="0">
        <references count="1">
          <reference field="4294967294" count="1" selected="0">
            <x v="1"/>
          </reference>
        </references>
      </pivotArea>
    </chartFormat>
    <chartFormat chart="4" format="25" series="1">
      <pivotArea type="data" outline="0" fieldPosition="0">
        <references count="1">
          <reference field="4294967294" count="1" selected="0">
            <x v="1"/>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0"/>
          </reference>
        </references>
      </pivotArea>
    </chartFormat>
    <chartFormat chart="11" format="28" series="1">
      <pivotArea type="data" outline="0" fieldPosition="0">
        <references count="1">
          <reference field="4294967294" count="1" selected="0">
            <x v="1"/>
          </reference>
        </references>
      </pivotArea>
    </chartFormat>
    <chartFormat chart="11" format="29" series="1">
      <pivotArea type="data" outline="0" fieldPosition="0">
        <references count="1">
          <reference field="4294967294" count="1" selected="0">
            <x v="0"/>
          </reference>
        </references>
      </pivotArea>
    </chartFormat>
    <chartFormat chart="12" format="28" series="1">
      <pivotArea type="data" outline="0" fieldPosition="0">
        <references count="1">
          <reference field="4294967294" count="1" selected="0">
            <x v="1"/>
          </reference>
        </references>
      </pivotArea>
    </chartFormat>
    <chartFormat chart="12" format="2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D740EE3-0E6A-4A19-82EE-D7E6C45FA93D}"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8">
  <location ref="A1:C7" firstHeaderRow="0" firstDataRow="1" firstDataCol="1"/>
  <pivotFields count="16">
    <pivotField showAll="0">
      <items count="8">
        <item x="4"/>
        <item x="0"/>
        <item x="1"/>
        <item x="2"/>
        <item x="5"/>
        <item x="6"/>
        <item x="3"/>
        <item t="default"/>
      </items>
    </pivotField>
    <pivotField axis="axisRow" showAll="0" measureFilter="1" sortType="descending">
      <items count="77">
        <item x="43"/>
        <item x="6"/>
        <item x="30"/>
        <item x="49"/>
        <item x="37"/>
        <item x="12"/>
        <item x="55"/>
        <item x="35"/>
        <item x="15"/>
        <item x="7"/>
        <item x="17"/>
        <item x="11"/>
        <item x="39"/>
        <item x="33"/>
        <item x="47"/>
        <item x="58"/>
        <item x="32"/>
        <item x="19"/>
        <item x="61"/>
        <item x="48"/>
        <item x="24"/>
        <item x="54"/>
        <item x="1"/>
        <item x="53"/>
        <item x="13"/>
        <item x="40"/>
        <item x="67"/>
        <item x="69"/>
        <item x="25"/>
        <item x="70"/>
        <item x="10"/>
        <item x="62"/>
        <item x="66"/>
        <item x="44"/>
        <item x="52"/>
        <item x="56"/>
        <item x="41"/>
        <item x="57"/>
        <item x="74"/>
        <item x="26"/>
        <item x="42"/>
        <item x="60"/>
        <item x="23"/>
        <item x="63"/>
        <item x="14"/>
        <item x="75"/>
        <item x="31"/>
        <item x="22"/>
        <item x="73"/>
        <item x="36"/>
        <item x="20"/>
        <item x="59"/>
        <item x="21"/>
        <item x="8"/>
        <item x="72"/>
        <item x="2"/>
        <item x="4"/>
        <item x="64"/>
        <item x="51"/>
        <item x="3"/>
        <item x="45"/>
        <item x="9"/>
        <item x="46"/>
        <item x="38"/>
        <item x="71"/>
        <item x="5"/>
        <item x="29"/>
        <item x="65"/>
        <item x="16"/>
        <item x="28"/>
        <item x="34"/>
        <item x="27"/>
        <item x="18"/>
        <item x="0"/>
        <item x="50"/>
        <item x="68"/>
        <item t="default"/>
      </items>
      <autoSortScope>
        <pivotArea dataOnly="0" outline="0" fieldPosition="0">
          <references count="1">
            <reference field="4294967294" count="1" selected="0">
              <x v="0"/>
            </reference>
          </references>
        </pivotArea>
      </autoSortScope>
    </pivotField>
    <pivotField showAll="0">
      <items count="13">
        <item x="0"/>
        <item x="9"/>
        <item x="1"/>
        <item x="7"/>
        <item x="8"/>
        <item x="3"/>
        <item x="4"/>
        <item x="10"/>
        <item x="2"/>
        <item x="6"/>
        <item x="11"/>
        <item x="5"/>
        <item t="default"/>
      </items>
    </pivotField>
    <pivotField showAll="0">
      <items count="3">
        <item x="0"/>
        <item x="1"/>
        <item t="default"/>
      </items>
    </pivotField>
    <pivotField showAll="0"/>
    <pivotField numFmtId="14" showAll="0">
      <items count="15">
        <item x="0"/>
        <item x="1"/>
        <item x="2"/>
        <item x="3"/>
        <item x="4"/>
        <item x="5"/>
        <item x="6"/>
        <item x="7"/>
        <item x="8"/>
        <item x="9"/>
        <item x="10"/>
        <item x="11"/>
        <item x="12"/>
        <item x="13"/>
        <item t="default"/>
      </items>
    </pivotField>
    <pivotField showAll="0"/>
    <pivotField numFmtId="14" showAll="0"/>
    <pivotField showAll="0"/>
    <pivotField showAll="0"/>
    <pivotField showAll="0"/>
    <pivotField dataField="1" showAll="0"/>
    <pivotField showAll="0"/>
    <pivotField dataField="1" showAll="0"/>
    <pivotField showAll="0">
      <items count="7">
        <item sd="0" x="0"/>
        <item sd="0" x="1"/>
        <item sd="0" x="2"/>
        <item sd="0" x="3"/>
        <item sd="0" x="4"/>
        <item sd="0" x="5"/>
        <item t="default"/>
      </items>
    </pivotField>
    <pivotField showAll="0">
      <items count="11">
        <item sd="0" x="0"/>
        <item sd="0" x="1"/>
        <item sd="0" x="2"/>
        <item sd="0" x="3"/>
        <item sd="0" x="4"/>
        <item sd="0" x="5"/>
        <item sd="0" x="6"/>
        <item sd="0" x="7"/>
        <item sd="0" x="8"/>
        <item sd="0" x="9"/>
        <item t="default"/>
      </items>
    </pivotField>
  </pivotFields>
  <rowFields count="1">
    <field x="1"/>
  </rowFields>
  <rowItems count="6">
    <i>
      <x v="16"/>
    </i>
    <i>
      <x v="46"/>
    </i>
    <i>
      <x v="51"/>
    </i>
    <i>
      <x v="57"/>
    </i>
    <i>
      <x v="24"/>
    </i>
    <i t="grand">
      <x/>
    </i>
  </rowItems>
  <colFields count="1">
    <field x="-2"/>
  </colFields>
  <colItems count="2">
    <i>
      <x/>
    </i>
    <i i="1">
      <x v="1"/>
    </i>
  </colItems>
  <dataFields count="2">
    <dataField name="Sum of Total Profit" fld="13" baseField="0" baseItem="0"/>
    <dataField name="Sum of Total Revenue" fld="11" baseField="0" baseItem="0"/>
  </dataFields>
  <chartFormats count="16">
    <chartFormat chart="9" format="28" series="1">
      <pivotArea type="data" outline="0" fieldPosition="0">
        <references count="1">
          <reference field="4294967294" count="1" selected="0">
            <x v="0"/>
          </reference>
        </references>
      </pivotArea>
    </chartFormat>
    <chartFormat chart="4" format="24" series="1">
      <pivotArea type="data" outline="0" fieldPosition="0">
        <references count="1">
          <reference field="4294967294" count="1" selected="0">
            <x v="0"/>
          </reference>
        </references>
      </pivotArea>
    </chartFormat>
    <chartFormat chart="9" format="29" series="1">
      <pivotArea type="data" outline="0" fieldPosition="0">
        <references count="1">
          <reference field="4294967294" count="1" selected="0">
            <x v="1"/>
          </reference>
        </references>
      </pivotArea>
    </chartFormat>
    <chartFormat chart="4" format="25" series="1">
      <pivotArea type="data" outline="0" fieldPosition="0">
        <references count="1">
          <reference field="4294967294" count="1" selected="0">
            <x v="1"/>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0"/>
          </reference>
        </references>
      </pivotArea>
    </chartFormat>
    <chartFormat chart="11" format="28" series="1">
      <pivotArea type="data" outline="0" fieldPosition="0">
        <references count="1">
          <reference field="4294967294" count="1" selected="0">
            <x v="1"/>
          </reference>
        </references>
      </pivotArea>
    </chartFormat>
    <chartFormat chart="11" format="29" series="1">
      <pivotArea type="data" outline="0" fieldPosition="0">
        <references count="1">
          <reference field="4294967294" count="1" selected="0">
            <x v="0"/>
          </reference>
        </references>
      </pivotArea>
    </chartFormat>
    <chartFormat chart="12" format="28" series="1">
      <pivotArea type="data" outline="0" fieldPosition="0">
        <references count="1">
          <reference field="4294967294" count="1" selected="0">
            <x v="1"/>
          </reference>
        </references>
      </pivotArea>
    </chartFormat>
    <chartFormat chart="12" format="29"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1"/>
          </reference>
        </references>
      </pivotArea>
    </chartFormat>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A7B974E-465E-49C8-9D00-DCA79BD1EA1C}"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5">
  <location ref="A1:C14" firstHeaderRow="0" firstDataRow="1" firstDataCol="1"/>
  <pivotFields count="16">
    <pivotField showAll="0">
      <items count="8">
        <item x="4"/>
        <item x="0"/>
        <item x="1"/>
        <item x="2"/>
        <item x="5"/>
        <item x="6"/>
        <item x="3"/>
        <item t="default"/>
      </items>
    </pivotField>
    <pivotField showAll="0"/>
    <pivotField axis="axisRow" showAll="0">
      <items count="13">
        <item x="0"/>
        <item x="9"/>
        <item x="1"/>
        <item x="7"/>
        <item x="8"/>
        <item x="3"/>
        <item x="4"/>
        <item x="10"/>
        <item x="2"/>
        <item x="6"/>
        <item x="11"/>
        <item x="5"/>
        <item t="default"/>
      </items>
    </pivotField>
    <pivotField showAll="0">
      <items count="3">
        <item x="0"/>
        <item x="1"/>
        <item t="default"/>
      </items>
    </pivotField>
    <pivotField showAll="0"/>
    <pivotField numFmtId="14" showAll="0">
      <items count="15">
        <item x="0"/>
        <item x="1"/>
        <item x="2"/>
        <item x="3"/>
        <item x="4"/>
        <item x="5"/>
        <item x="6"/>
        <item x="7"/>
        <item x="8"/>
        <item x="9"/>
        <item x="10"/>
        <item x="11"/>
        <item x="12"/>
        <item x="13"/>
        <item t="default"/>
      </items>
    </pivotField>
    <pivotField showAll="0"/>
    <pivotField numFmtId="14" showAll="0"/>
    <pivotField showAll="0"/>
    <pivotField showAll="0"/>
    <pivotField showAll="0"/>
    <pivotField dataField="1" showAll="0"/>
    <pivotField showAll="0"/>
    <pivotField dataField="1" showAll="0"/>
    <pivotField showAll="0">
      <items count="7">
        <item sd="0" x="0"/>
        <item sd="0" x="1"/>
        <item sd="0" x="2"/>
        <item sd="0" x="3"/>
        <item sd="0" x="4"/>
        <item sd="0" x="5"/>
        <item t="default"/>
      </items>
    </pivotField>
    <pivotField showAll="0">
      <items count="11">
        <item sd="0" x="0"/>
        <item sd="0" x="1"/>
        <item sd="0" x="2"/>
        <item sd="0" x="3"/>
        <item sd="0" x="4"/>
        <item sd="0" x="5"/>
        <item sd="0" x="6"/>
        <item sd="0" x="7"/>
        <item sd="0" x="8"/>
        <item sd="0" x="9"/>
        <item t="default"/>
      </items>
    </pivotField>
  </pivotFields>
  <rowFields count="1">
    <field x="2"/>
  </rowFields>
  <rowItems count="13">
    <i>
      <x/>
    </i>
    <i>
      <x v="1"/>
    </i>
    <i>
      <x v="2"/>
    </i>
    <i>
      <x v="3"/>
    </i>
    <i>
      <x v="4"/>
    </i>
    <i>
      <x v="5"/>
    </i>
    <i>
      <x v="6"/>
    </i>
    <i>
      <x v="7"/>
    </i>
    <i>
      <x v="8"/>
    </i>
    <i>
      <x v="9"/>
    </i>
    <i>
      <x v="10"/>
    </i>
    <i>
      <x v="11"/>
    </i>
    <i t="grand">
      <x/>
    </i>
  </rowItems>
  <colFields count="1">
    <field x="-2"/>
  </colFields>
  <colItems count="2">
    <i>
      <x/>
    </i>
    <i i="1">
      <x v="1"/>
    </i>
  </colItems>
  <dataFields count="2">
    <dataField name="Sum of Total Profit" fld="13" baseField="0" baseItem="0"/>
    <dataField name="Sum of Total Revenue" fld="11" baseField="0" baseItem="0"/>
  </dataFields>
  <chartFormats count="56">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0"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1"/>
          </reference>
        </references>
      </pivotArea>
    </chartFormat>
    <chartFormat chart="13" format="28" series="1">
      <pivotArea type="data" outline="0" fieldPosition="0">
        <references count="1">
          <reference field="4294967294" count="1" selected="0">
            <x v="0"/>
          </reference>
        </references>
      </pivotArea>
    </chartFormat>
    <chartFormat chart="13" format="41" series="1">
      <pivotArea type="data" outline="0" fieldPosition="0">
        <references count="1">
          <reference field="4294967294" count="1" selected="0">
            <x v="1"/>
          </reference>
        </references>
      </pivotArea>
    </chartFormat>
    <chartFormat chart="13" format="54">
      <pivotArea type="data" outline="0" fieldPosition="0">
        <references count="2">
          <reference field="4294967294" count="1" selected="0">
            <x v="0"/>
          </reference>
          <reference field="2" count="1" selected="0">
            <x v="0"/>
          </reference>
        </references>
      </pivotArea>
    </chartFormat>
    <chartFormat chart="13" format="55">
      <pivotArea type="data" outline="0" fieldPosition="0">
        <references count="2">
          <reference field="4294967294" count="1" selected="0">
            <x v="0"/>
          </reference>
          <reference field="2" count="1" selected="0">
            <x v="1"/>
          </reference>
        </references>
      </pivotArea>
    </chartFormat>
    <chartFormat chart="13" format="56">
      <pivotArea type="data" outline="0" fieldPosition="0">
        <references count="2">
          <reference field="4294967294" count="1" selected="0">
            <x v="0"/>
          </reference>
          <reference field="2" count="1" selected="0">
            <x v="2"/>
          </reference>
        </references>
      </pivotArea>
    </chartFormat>
    <chartFormat chart="13" format="57">
      <pivotArea type="data" outline="0" fieldPosition="0">
        <references count="2">
          <reference field="4294967294" count="1" selected="0">
            <x v="0"/>
          </reference>
          <reference field="2" count="1" selected="0">
            <x v="3"/>
          </reference>
        </references>
      </pivotArea>
    </chartFormat>
    <chartFormat chart="13" format="58">
      <pivotArea type="data" outline="0" fieldPosition="0">
        <references count="2">
          <reference field="4294967294" count="1" selected="0">
            <x v="0"/>
          </reference>
          <reference field="2" count="1" selected="0">
            <x v="4"/>
          </reference>
        </references>
      </pivotArea>
    </chartFormat>
    <chartFormat chart="13" format="59">
      <pivotArea type="data" outline="0" fieldPosition="0">
        <references count="2">
          <reference field="4294967294" count="1" selected="0">
            <x v="0"/>
          </reference>
          <reference field="2" count="1" selected="0">
            <x v="5"/>
          </reference>
        </references>
      </pivotArea>
    </chartFormat>
    <chartFormat chart="13" format="60">
      <pivotArea type="data" outline="0" fieldPosition="0">
        <references count="2">
          <reference field="4294967294" count="1" selected="0">
            <x v="0"/>
          </reference>
          <reference field="2" count="1" selected="0">
            <x v="6"/>
          </reference>
        </references>
      </pivotArea>
    </chartFormat>
    <chartFormat chart="13" format="61">
      <pivotArea type="data" outline="0" fieldPosition="0">
        <references count="2">
          <reference field="4294967294" count="1" selected="0">
            <x v="0"/>
          </reference>
          <reference field="2" count="1" selected="0">
            <x v="7"/>
          </reference>
        </references>
      </pivotArea>
    </chartFormat>
    <chartFormat chart="13" format="62">
      <pivotArea type="data" outline="0" fieldPosition="0">
        <references count="2">
          <reference field="4294967294" count="1" selected="0">
            <x v="0"/>
          </reference>
          <reference field="2" count="1" selected="0">
            <x v="8"/>
          </reference>
        </references>
      </pivotArea>
    </chartFormat>
    <chartFormat chart="13" format="63">
      <pivotArea type="data" outline="0" fieldPosition="0">
        <references count="2">
          <reference field="4294967294" count="1" selected="0">
            <x v="0"/>
          </reference>
          <reference field="2" count="1" selected="0">
            <x v="9"/>
          </reference>
        </references>
      </pivotArea>
    </chartFormat>
    <chartFormat chart="13" format="64">
      <pivotArea type="data" outline="0" fieldPosition="0">
        <references count="2">
          <reference field="4294967294" count="1" selected="0">
            <x v="0"/>
          </reference>
          <reference field="2" count="1" selected="0">
            <x v="10"/>
          </reference>
        </references>
      </pivotArea>
    </chartFormat>
    <chartFormat chart="13" format="65">
      <pivotArea type="data" outline="0" fieldPosition="0">
        <references count="2">
          <reference field="4294967294" count="1" selected="0">
            <x v="0"/>
          </reference>
          <reference field="2" count="1" selected="0">
            <x v="11"/>
          </reference>
        </references>
      </pivotArea>
    </chartFormat>
    <chartFormat chart="13" format="66">
      <pivotArea type="data" outline="0" fieldPosition="0">
        <references count="2">
          <reference field="4294967294" count="1" selected="0">
            <x v="1"/>
          </reference>
          <reference field="2" count="1" selected="0">
            <x v="0"/>
          </reference>
        </references>
      </pivotArea>
    </chartFormat>
    <chartFormat chart="13" format="67">
      <pivotArea type="data" outline="0" fieldPosition="0">
        <references count="2">
          <reference field="4294967294" count="1" selected="0">
            <x v="1"/>
          </reference>
          <reference field="2" count="1" selected="0">
            <x v="1"/>
          </reference>
        </references>
      </pivotArea>
    </chartFormat>
    <chartFormat chart="13" format="68">
      <pivotArea type="data" outline="0" fieldPosition="0">
        <references count="2">
          <reference field="4294967294" count="1" selected="0">
            <x v="1"/>
          </reference>
          <reference field="2" count="1" selected="0">
            <x v="2"/>
          </reference>
        </references>
      </pivotArea>
    </chartFormat>
    <chartFormat chart="13" format="69">
      <pivotArea type="data" outline="0" fieldPosition="0">
        <references count="2">
          <reference field="4294967294" count="1" selected="0">
            <x v="1"/>
          </reference>
          <reference field="2" count="1" selected="0">
            <x v="3"/>
          </reference>
        </references>
      </pivotArea>
    </chartFormat>
    <chartFormat chart="13" format="70">
      <pivotArea type="data" outline="0" fieldPosition="0">
        <references count="2">
          <reference field="4294967294" count="1" selected="0">
            <x v="1"/>
          </reference>
          <reference field="2" count="1" selected="0">
            <x v="4"/>
          </reference>
        </references>
      </pivotArea>
    </chartFormat>
    <chartFormat chart="13" format="71">
      <pivotArea type="data" outline="0" fieldPosition="0">
        <references count="2">
          <reference field="4294967294" count="1" selected="0">
            <x v="1"/>
          </reference>
          <reference field="2" count="1" selected="0">
            <x v="5"/>
          </reference>
        </references>
      </pivotArea>
    </chartFormat>
    <chartFormat chart="13" format="72">
      <pivotArea type="data" outline="0" fieldPosition="0">
        <references count="2">
          <reference field="4294967294" count="1" selected="0">
            <x v="1"/>
          </reference>
          <reference field="2" count="1" selected="0">
            <x v="6"/>
          </reference>
        </references>
      </pivotArea>
    </chartFormat>
    <chartFormat chart="13" format="73">
      <pivotArea type="data" outline="0" fieldPosition="0">
        <references count="2">
          <reference field="4294967294" count="1" selected="0">
            <x v="1"/>
          </reference>
          <reference field="2" count="1" selected="0">
            <x v="7"/>
          </reference>
        </references>
      </pivotArea>
    </chartFormat>
    <chartFormat chart="13" format="74">
      <pivotArea type="data" outline="0" fieldPosition="0">
        <references count="2">
          <reference field="4294967294" count="1" selected="0">
            <x v="1"/>
          </reference>
          <reference field="2" count="1" selected="0">
            <x v="8"/>
          </reference>
        </references>
      </pivotArea>
    </chartFormat>
    <chartFormat chart="13" format="75">
      <pivotArea type="data" outline="0" fieldPosition="0">
        <references count="2">
          <reference field="4294967294" count="1" selected="0">
            <x v="1"/>
          </reference>
          <reference field="2" count="1" selected="0">
            <x v="9"/>
          </reference>
        </references>
      </pivotArea>
    </chartFormat>
    <chartFormat chart="13" format="76">
      <pivotArea type="data" outline="0" fieldPosition="0">
        <references count="2">
          <reference field="4294967294" count="1" selected="0">
            <x v="1"/>
          </reference>
          <reference field="2" count="1" selected="0">
            <x v="10"/>
          </reference>
        </references>
      </pivotArea>
    </chartFormat>
    <chartFormat chart="13" format="77">
      <pivotArea type="data" outline="0" fieldPosition="0">
        <references count="2">
          <reference field="4294967294" count="1" selected="0">
            <x v="1"/>
          </reference>
          <reference field="2" count="1" selected="0">
            <x v="11"/>
          </reference>
        </references>
      </pivotArea>
    </chartFormat>
    <chartFormat chart="10" format="2">
      <pivotArea type="data" outline="0" fieldPosition="0">
        <references count="2">
          <reference field="4294967294" count="1" selected="0">
            <x v="0"/>
          </reference>
          <reference field="2" count="1" selected="0">
            <x v="0"/>
          </reference>
        </references>
      </pivotArea>
    </chartFormat>
    <chartFormat chart="10" format="3">
      <pivotArea type="data" outline="0" fieldPosition="0">
        <references count="2">
          <reference field="4294967294" count="1" selected="0">
            <x v="0"/>
          </reference>
          <reference field="2" count="1" selected="0">
            <x v="1"/>
          </reference>
        </references>
      </pivotArea>
    </chartFormat>
    <chartFormat chart="10" format="4">
      <pivotArea type="data" outline="0" fieldPosition="0">
        <references count="2">
          <reference field="4294967294" count="1" selected="0">
            <x v="0"/>
          </reference>
          <reference field="2" count="1" selected="0">
            <x v="2"/>
          </reference>
        </references>
      </pivotArea>
    </chartFormat>
    <chartFormat chart="10" format="5">
      <pivotArea type="data" outline="0" fieldPosition="0">
        <references count="2">
          <reference field="4294967294" count="1" selected="0">
            <x v="0"/>
          </reference>
          <reference field="2" count="1" selected="0">
            <x v="3"/>
          </reference>
        </references>
      </pivotArea>
    </chartFormat>
    <chartFormat chart="10" format="6">
      <pivotArea type="data" outline="0" fieldPosition="0">
        <references count="2">
          <reference field="4294967294" count="1" selected="0">
            <x v="0"/>
          </reference>
          <reference field="2" count="1" selected="0">
            <x v="4"/>
          </reference>
        </references>
      </pivotArea>
    </chartFormat>
    <chartFormat chart="10" format="7">
      <pivotArea type="data" outline="0" fieldPosition="0">
        <references count="2">
          <reference field="4294967294" count="1" selected="0">
            <x v="0"/>
          </reference>
          <reference field="2" count="1" selected="0">
            <x v="5"/>
          </reference>
        </references>
      </pivotArea>
    </chartFormat>
    <chartFormat chart="10" format="8">
      <pivotArea type="data" outline="0" fieldPosition="0">
        <references count="2">
          <reference field="4294967294" count="1" selected="0">
            <x v="0"/>
          </reference>
          <reference field="2" count="1" selected="0">
            <x v="6"/>
          </reference>
        </references>
      </pivotArea>
    </chartFormat>
    <chartFormat chart="10" format="9">
      <pivotArea type="data" outline="0" fieldPosition="0">
        <references count="2">
          <reference field="4294967294" count="1" selected="0">
            <x v="0"/>
          </reference>
          <reference field="2" count="1" selected="0">
            <x v="7"/>
          </reference>
        </references>
      </pivotArea>
    </chartFormat>
    <chartFormat chart="10" format="10">
      <pivotArea type="data" outline="0" fieldPosition="0">
        <references count="2">
          <reference field="4294967294" count="1" selected="0">
            <x v="0"/>
          </reference>
          <reference field="2" count="1" selected="0">
            <x v="8"/>
          </reference>
        </references>
      </pivotArea>
    </chartFormat>
    <chartFormat chart="10" format="11">
      <pivotArea type="data" outline="0" fieldPosition="0">
        <references count="2">
          <reference field="4294967294" count="1" selected="0">
            <x v="0"/>
          </reference>
          <reference field="2" count="1" selected="0">
            <x v="9"/>
          </reference>
        </references>
      </pivotArea>
    </chartFormat>
    <chartFormat chart="10" format="12">
      <pivotArea type="data" outline="0" fieldPosition="0">
        <references count="2">
          <reference field="4294967294" count="1" selected="0">
            <x v="0"/>
          </reference>
          <reference field="2" count="1" selected="0">
            <x v="10"/>
          </reference>
        </references>
      </pivotArea>
    </chartFormat>
    <chartFormat chart="10" format="13">
      <pivotArea type="data" outline="0" fieldPosition="0">
        <references count="2">
          <reference field="4294967294" count="1" selected="0">
            <x v="0"/>
          </reference>
          <reference field="2" count="1" selected="0">
            <x v="11"/>
          </reference>
        </references>
      </pivotArea>
    </chartFormat>
    <chartFormat chart="10" format="14">
      <pivotArea type="data" outline="0" fieldPosition="0">
        <references count="2">
          <reference field="4294967294" count="1" selected="0">
            <x v="1"/>
          </reference>
          <reference field="2" count="1" selected="0">
            <x v="0"/>
          </reference>
        </references>
      </pivotArea>
    </chartFormat>
    <chartFormat chart="10" format="15">
      <pivotArea type="data" outline="0" fieldPosition="0">
        <references count="2">
          <reference field="4294967294" count="1" selected="0">
            <x v="1"/>
          </reference>
          <reference field="2" count="1" selected="0">
            <x v="1"/>
          </reference>
        </references>
      </pivotArea>
    </chartFormat>
    <chartFormat chart="10" format="16">
      <pivotArea type="data" outline="0" fieldPosition="0">
        <references count="2">
          <reference field="4294967294" count="1" selected="0">
            <x v="1"/>
          </reference>
          <reference field="2" count="1" selected="0">
            <x v="2"/>
          </reference>
        </references>
      </pivotArea>
    </chartFormat>
    <chartFormat chart="10" format="17">
      <pivotArea type="data" outline="0" fieldPosition="0">
        <references count="2">
          <reference field="4294967294" count="1" selected="0">
            <x v="1"/>
          </reference>
          <reference field="2" count="1" selected="0">
            <x v="3"/>
          </reference>
        </references>
      </pivotArea>
    </chartFormat>
    <chartFormat chart="10" format="18">
      <pivotArea type="data" outline="0" fieldPosition="0">
        <references count="2">
          <reference field="4294967294" count="1" selected="0">
            <x v="1"/>
          </reference>
          <reference field="2" count="1" selected="0">
            <x v="4"/>
          </reference>
        </references>
      </pivotArea>
    </chartFormat>
    <chartFormat chart="10" format="19">
      <pivotArea type="data" outline="0" fieldPosition="0">
        <references count="2">
          <reference field="4294967294" count="1" selected="0">
            <x v="1"/>
          </reference>
          <reference field="2" count="1" selected="0">
            <x v="5"/>
          </reference>
        </references>
      </pivotArea>
    </chartFormat>
    <chartFormat chart="10" format="20">
      <pivotArea type="data" outline="0" fieldPosition="0">
        <references count="2">
          <reference field="4294967294" count="1" selected="0">
            <x v="1"/>
          </reference>
          <reference field="2" count="1" selected="0">
            <x v="6"/>
          </reference>
        </references>
      </pivotArea>
    </chartFormat>
    <chartFormat chart="10" format="21">
      <pivotArea type="data" outline="0" fieldPosition="0">
        <references count="2">
          <reference field="4294967294" count="1" selected="0">
            <x v="1"/>
          </reference>
          <reference field="2" count="1" selected="0">
            <x v="7"/>
          </reference>
        </references>
      </pivotArea>
    </chartFormat>
    <chartFormat chart="10" format="22">
      <pivotArea type="data" outline="0" fieldPosition="0">
        <references count="2">
          <reference field="4294967294" count="1" selected="0">
            <x v="1"/>
          </reference>
          <reference field="2" count="1" selected="0">
            <x v="8"/>
          </reference>
        </references>
      </pivotArea>
    </chartFormat>
    <chartFormat chart="10" format="23">
      <pivotArea type="data" outline="0" fieldPosition="0">
        <references count="2">
          <reference field="4294967294" count="1" selected="0">
            <x v="1"/>
          </reference>
          <reference field="2" count="1" selected="0">
            <x v="9"/>
          </reference>
        </references>
      </pivotArea>
    </chartFormat>
    <chartFormat chart="10" format="24">
      <pivotArea type="data" outline="0" fieldPosition="0">
        <references count="2">
          <reference field="4294967294" count="1" selected="0">
            <x v="1"/>
          </reference>
          <reference field="2" count="1" selected="0">
            <x v="10"/>
          </reference>
        </references>
      </pivotArea>
    </chartFormat>
    <chartFormat chart="10" format="25">
      <pivotArea type="data" outline="0" fieldPosition="0">
        <references count="2">
          <reference field="4294967294" count="1" selected="0">
            <x v="1"/>
          </reference>
          <reference field="2"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61C2080-3017-4890-B0E0-7B2ED671E72A}"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8">
  <location ref="A1:B9" firstHeaderRow="1" firstDataRow="1" firstDataCol="1"/>
  <pivotFields count="16">
    <pivotField axis="axisRow" showAll="0">
      <items count="8">
        <item x="4"/>
        <item x="0"/>
        <item x="1"/>
        <item x="2"/>
        <item x="5"/>
        <item x="6"/>
        <item x="3"/>
        <item t="default"/>
      </items>
    </pivotField>
    <pivotField showAll="0">
      <items count="77">
        <item x="43"/>
        <item x="6"/>
        <item x="30"/>
        <item x="49"/>
        <item x="37"/>
        <item x="12"/>
        <item x="55"/>
        <item x="35"/>
        <item x="15"/>
        <item x="7"/>
        <item x="17"/>
        <item x="11"/>
        <item x="39"/>
        <item x="33"/>
        <item x="47"/>
        <item x="58"/>
        <item x="32"/>
        <item x="19"/>
        <item x="61"/>
        <item x="48"/>
        <item x="24"/>
        <item x="54"/>
        <item x="1"/>
        <item x="53"/>
        <item x="13"/>
        <item x="40"/>
        <item x="67"/>
        <item x="69"/>
        <item x="25"/>
        <item x="70"/>
        <item x="10"/>
        <item x="62"/>
        <item x="66"/>
        <item x="44"/>
        <item x="52"/>
        <item x="56"/>
        <item x="41"/>
        <item x="57"/>
        <item x="74"/>
        <item x="26"/>
        <item x="42"/>
        <item x="60"/>
        <item x="23"/>
        <item x="63"/>
        <item x="14"/>
        <item x="75"/>
        <item x="31"/>
        <item x="22"/>
        <item x="73"/>
        <item x="36"/>
        <item x="20"/>
        <item x="59"/>
        <item x="21"/>
        <item x="8"/>
        <item x="72"/>
        <item x="2"/>
        <item x="4"/>
        <item x="64"/>
        <item x="51"/>
        <item x="3"/>
        <item x="45"/>
        <item x="9"/>
        <item x="46"/>
        <item x="38"/>
        <item x="71"/>
        <item x="5"/>
        <item x="29"/>
        <item x="65"/>
        <item x="16"/>
        <item x="28"/>
        <item x="34"/>
        <item x="27"/>
        <item x="18"/>
        <item x="0"/>
        <item x="50"/>
        <item x="68"/>
        <item t="default"/>
      </items>
    </pivotField>
    <pivotField showAll="0">
      <items count="13">
        <item x="0"/>
        <item x="9"/>
        <item x="1"/>
        <item x="7"/>
        <item x="8"/>
        <item x="3"/>
        <item x="4"/>
        <item x="10"/>
        <item x="2"/>
        <item x="6"/>
        <item x="11"/>
        <item x="5"/>
        <item t="default"/>
      </items>
    </pivotField>
    <pivotField showAll="0">
      <items count="3">
        <item x="0"/>
        <item x="1"/>
        <item t="default"/>
      </items>
    </pivotField>
    <pivotField showAll="0">
      <items count="5">
        <item x="1"/>
        <item x="0"/>
        <item x="2"/>
        <item x="3"/>
        <item t="default"/>
      </items>
    </pivotField>
    <pivotField numFmtId="14" showAll="0">
      <items count="15">
        <item x="0"/>
        <item x="1"/>
        <item x="2"/>
        <item x="3"/>
        <item x="4"/>
        <item x="5"/>
        <item x="6"/>
        <item x="7"/>
        <item x="8"/>
        <item x="9"/>
        <item x="10"/>
        <item x="11"/>
        <item x="12"/>
        <item x="13"/>
        <item t="default"/>
      </items>
    </pivotField>
    <pivotField dataField="1" showAll="0"/>
    <pivotField numFmtId="14" showAll="0"/>
    <pivotField showAll="0"/>
    <pivotField showAll="0"/>
    <pivotField showAll="0"/>
    <pivotField showAll="0"/>
    <pivotField showAll="0"/>
    <pivotField showAll="0"/>
    <pivotField showAll="0">
      <items count="7">
        <item sd="0" x="0"/>
        <item sd="0" x="1"/>
        <item sd="0" x="2"/>
        <item sd="0" x="3"/>
        <item sd="0" x="4"/>
        <item sd="0" x="5"/>
        <item t="default"/>
      </items>
    </pivotField>
    <pivotField showAll="0">
      <items count="11">
        <item sd="0" x="0"/>
        <item sd="0" x="1"/>
        <item sd="0" x="2"/>
        <item sd="0" x="3"/>
        <item sd="0" x="4"/>
        <item sd="0" x="5"/>
        <item sd="0" x="6"/>
        <item sd="0" x="7"/>
        <item sd="0" x="8"/>
        <item sd="0" x="9"/>
        <item t="default"/>
      </items>
    </pivotField>
  </pivotFields>
  <rowFields count="1">
    <field x="0"/>
  </rowFields>
  <rowItems count="8">
    <i>
      <x/>
    </i>
    <i>
      <x v="1"/>
    </i>
    <i>
      <x v="2"/>
    </i>
    <i>
      <x v="3"/>
    </i>
    <i>
      <x v="4"/>
    </i>
    <i>
      <x v="5"/>
    </i>
    <i>
      <x v="6"/>
    </i>
    <i t="grand">
      <x/>
    </i>
  </rowItems>
  <colItems count="1">
    <i/>
  </colItems>
  <dataFields count="1">
    <dataField name="Count of Order ID" fld="6" subtotal="count" baseField="4" baseItem="0"/>
  </dataFields>
  <chartFormats count="1">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30E4454-26D5-4191-AA93-76D0F25D390E}"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7">
  <location ref="A1:B6" firstHeaderRow="1" firstDataRow="1" firstDataCol="1"/>
  <pivotFields count="16">
    <pivotField showAll="0">
      <items count="8">
        <item x="4"/>
        <item x="0"/>
        <item x="1"/>
        <item x="2"/>
        <item x="5"/>
        <item x="6"/>
        <item x="3"/>
        <item t="default"/>
      </items>
    </pivotField>
    <pivotField showAll="0">
      <items count="77">
        <item x="43"/>
        <item x="6"/>
        <item x="30"/>
        <item x="49"/>
        <item x="37"/>
        <item x="12"/>
        <item x="55"/>
        <item x="35"/>
        <item x="15"/>
        <item x="7"/>
        <item x="17"/>
        <item x="11"/>
        <item x="39"/>
        <item x="33"/>
        <item x="47"/>
        <item x="58"/>
        <item x="32"/>
        <item x="19"/>
        <item x="61"/>
        <item x="48"/>
        <item x="24"/>
        <item x="54"/>
        <item x="1"/>
        <item x="53"/>
        <item x="13"/>
        <item x="40"/>
        <item x="67"/>
        <item x="69"/>
        <item x="25"/>
        <item x="70"/>
        <item x="10"/>
        <item x="62"/>
        <item x="66"/>
        <item x="44"/>
        <item x="52"/>
        <item x="56"/>
        <item x="41"/>
        <item x="57"/>
        <item x="74"/>
        <item x="26"/>
        <item x="42"/>
        <item x="60"/>
        <item x="23"/>
        <item x="63"/>
        <item x="14"/>
        <item x="75"/>
        <item x="31"/>
        <item x="22"/>
        <item x="73"/>
        <item x="36"/>
        <item x="20"/>
        <item x="59"/>
        <item x="21"/>
        <item x="8"/>
        <item x="72"/>
        <item x="2"/>
        <item x="4"/>
        <item x="64"/>
        <item x="51"/>
        <item x="3"/>
        <item x="45"/>
        <item x="9"/>
        <item x="46"/>
        <item x="38"/>
        <item x="71"/>
        <item x="5"/>
        <item x="29"/>
        <item x="65"/>
        <item x="16"/>
        <item x="28"/>
        <item x="34"/>
        <item x="27"/>
        <item x="18"/>
        <item x="0"/>
        <item x="50"/>
        <item x="68"/>
        <item t="default"/>
      </items>
    </pivotField>
    <pivotField showAll="0">
      <items count="13">
        <item x="0"/>
        <item x="9"/>
        <item x="1"/>
        <item x="7"/>
        <item x="8"/>
        <item x="3"/>
        <item x="4"/>
        <item x="10"/>
        <item x="2"/>
        <item x="6"/>
        <item x="11"/>
        <item x="5"/>
        <item t="default"/>
      </items>
    </pivotField>
    <pivotField showAll="0">
      <items count="3">
        <item x="0"/>
        <item x="1"/>
        <item t="default"/>
      </items>
    </pivotField>
    <pivotField axis="axisRow" showAll="0">
      <items count="5">
        <item x="1"/>
        <item x="0"/>
        <item x="2"/>
        <item x="3"/>
        <item t="default"/>
      </items>
    </pivotField>
    <pivotField numFmtId="14" showAll="0">
      <items count="15">
        <item x="0"/>
        <item x="1"/>
        <item x="2"/>
        <item x="3"/>
        <item x="4"/>
        <item x="5"/>
        <item x="6"/>
        <item x="7"/>
        <item x="8"/>
        <item x="9"/>
        <item x="10"/>
        <item x="11"/>
        <item x="12"/>
        <item x="13"/>
        <item t="default"/>
      </items>
    </pivotField>
    <pivotField showAll="0"/>
    <pivotField numFmtId="14" showAll="0"/>
    <pivotField showAll="0"/>
    <pivotField showAll="0"/>
    <pivotField showAll="0"/>
    <pivotField showAll="0"/>
    <pivotField showAll="0"/>
    <pivotField dataField="1" showAll="0"/>
    <pivotField showAll="0">
      <items count="7">
        <item sd="0" x="0"/>
        <item sd="0" x="1"/>
        <item sd="0" x="2"/>
        <item sd="0" x="3"/>
        <item sd="0" x="4"/>
        <item sd="0" x="5"/>
        <item t="default"/>
      </items>
    </pivotField>
    <pivotField showAll="0">
      <items count="11">
        <item sd="0" x="0"/>
        <item x="1"/>
        <item x="2"/>
        <item x="3"/>
        <item x="4"/>
        <item x="5"/>
        <item x="6"/>
        <item x="7"/>
        <item x="8"/>
        <item sd="0" x="9"/>
        <item t="default"/>
      </items>
    </pivotField>
  </pivotFields>
  <rowFields count="1">
    <field x="4"/>
  </rowFields>
  <rowItems count="5">
    <i>
      <x/>
    </i>
    <i>
      <x v="1"/>
    </i>
    <i>
      <x v="2"/>
    </i>
    <i>
      <x v="3"/>
    </i>
    <i t="grand">
      <x/>
    </i>
  </rowItems>
  <colItems count="1">
    <i/>
  </colItems>
  <dataFields count="1">
    <dataField name="Sum of Total Profit" fld="13" baseField="0" baseItem="0"/>
  </dataFields>
  <chartFormats count="10">
    <chartFormat chart="13" format="0" series="1">
      <pivotArea type="data" outline="0" fieldPosition="0">
        <references count="1">
          <reference field="4294967294" count="1" selected="0">
            <x v="0"/>
          </reference>
        </references>
      </pivotArea>
    </chartFormat>
    <chartFormat chart="16" format="6" series="1">
      <pivotArea type="data" outline="0" fieldPosition="0">
        <references count="1">
          <reference field="4294967294" count="1" selected="0">
            <x v="0"/>
          </reference>
        </references>
      </pivotArea>
    </chartFormat>
    <chartFormat chart="16" format="7">
      <pivotArea type="data" outline="0" fieldPosition="0">
        <references count="2">
          <reference field="4294967294" count="1" selected="0">
            <x v="0"/>
          </reference>
          <reference field="4" count="1" selected="0">
            <x v="0"/>
          </reference>
        </references>
      </pivotArea>
    </chartFormat>
    <chartFormat chart="16" format="8">
      <pivotArea type="data" outline="0" fieldPosition="0">
        <references count="2">
          <reference field="4294967294" count="1" selected="0">
            <x v="0"/>
          </reference>
          <reference field="4" count="1" selected="0">
            <x v="1"/>
          </reference>
        </references>
      </pivotArea>
    </chartFormat>
    <chartFormat chart="16" format="9">
      <pivotArea type="data" outline="0" fieldPosition="0">
        <references count="2">
          <reference field="4294967294" count="1" selected="0">
            <x v="0"/>
          </reference>
          <reference field="4" count="1" selected="0">
            <x v="2"/>
          </reference>
        </references>
      </pivotArea>
    </chartFormat>
    <chartFormat chart="16" format="10">
      <pivotArea type="data" outline="0" fieldPosition="0">
        <references count="2">
          <reference field="4294967294" count="1" selected="0">
            <x v="0"/>
          </reference>
          <reference field="4" count="1" selected="0">
            <x v="3"/>
          </reference>
        </references>
      </pivotArea>
    </chartFormat>
    <chartFormat chart="13" format="1">
      <pivotArea type="data" outline="0" fieldPosition="0">
        <references count="2">
          <reference field="4294967294" count="1" selected="0">
            <x v="0"/>
          </reference>
          <reference field="4" count="1" selected="0">
            <x v="0"/>
          </reference>
        </references>
      </pivotArea>
    </chartFormat>
    <chartFormat chart="13" format="2">
      <pivotArea type="data" outline="0" fieldPosition="0">
        <references count="2">
          <reference field="4294967294" count="1" selected="0">
            <x v="0"/>
          </reference>
          <reference field="4" count="1" selected="0">
            <x v="1"/>
          </reference>
        </references>
      </pivotArea>
    </chartFormat>
    <chartFormat chart="13" format="3">
      <pivotArea type="data" outline="0" fieldPosition="0">
        <references count="2">
          <reference field="4294967294" count="1" selected="0">
            <x v="0"/>
          </reference>
          <reference field="4" count="1" selected="0">
            <x v="2"/>
          </reference>
        </references>
      </pivotArea>
    </chartFormat>
    <chartFormat chart="13" format="4">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2676F98-380A-46AA-A200-619EEB244D5F}"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A1:C10" firstHeaderRow="0" firstDataRow="1" firstDataCol="1"/>
  <pivotFields count="16">
    <pivotField showAll="0">
      <items count="8">
        <item x="4"/>
        <item x="0"/>
        <item x="1"/>
        <item x="2"/>
        <item x="5"/>
        <item x="6"/>
        <item x="3"/>
        <item t="default"/>
      </items>
    </pivotField>
    <pivotField showAll="0"/>
    <pivotField showAll="0">
      <items count="13">
        <item x="0"/>
        <item x="9"/>
        <item x="1"/>
        <item x="7"/>
        <item x="8"/>
        <item x="3"/>
        <item x="4"/>
        <item x="10"/>
        <item x="2"/>
        <item x="6"/>
        <item x="11"/>
        <item x="5"/>
        <item t="default"/>
      </items>
    </pivotField>
    <pivotField showAll="0">
      <items count="3">
        <item x="0"/>
        <item x="1"/>
        <item t="default"/>
      </items>
    </pivotField>
    <pivotField showAll="0"/>
    <pivotField numFmtId="14" showAll="0"/>
    <pivotField showAll="0"/>
    <pivotField numFmtId="14" showAll="0"/>
    <pivotField showAll="0"/>
    <pivotField showAll="0"/>
    <pivotField showAll="0"/>
    <pivotField dataField="1" showAll="0"/>
    <pivotField showAll="0"/>
    <pivotField dataField="1" showAll="0"/>
    <pivotField showAll="0" defaultSubtotal="0"/>
    <pivotField axis="axisRow" showAll="0" defaultSubtotal="0">
      <items count="10">
        <item x="0"/>
        <item x="1"/>
        <item x="2"/>
        <item x="3"/>
        <item x="4"/>
        <item x="5"/>
        <item x="6"/>
        <item x="7"/>
        <item x="8"/>
        <item x="9"/>
      </items>
    </pivotField>
  </pivotFields>
  <rowFields count="1">
    <field x="15"/>
  </rowFields>
  <rowItems count="9">
    <i>
      <x v="1"/>
    </i>
    <i>
      <x v="2"/>
    </i>
    <i>
      <x v="3"/>
    </i>
    <i>
      <x v="4"/>
    </i>
    <i>
      <x v="5"/>
    </i>
    <i>
      <x v="6"/>
    </i>
    <i>
      <x v="7"/>
    </i>
    <i>
      <x v="8"/>
    </i>
    <i t="grand">
      <x/>
    </i>
  </rowItems>
  <colFields count="1">
    <field x="-2"/>
  </colFields>
  <colItems count="2">
    <i>
      <x/>
    </i>
    <i i="1">
      <x v="1"/>
    </i>
  </colItems>
  <dataFields count="2">
    <dataField name="Sum of Total Revenue" fld="11" baseField="0" baseItem="0"/>
    <dataField name="Sum of Total Profit" fld="13" baseField="0" baseItem="0"/>
  </dataFields>
  <formats count="1">
    <format dxfId="0">
      <pivotArea collapsedLevelsAreSubtotals="1" fieldPosition="0">
        <references count="1">
          <reference field="15" count="8">
            <x v="1"/>
            <x v="2"/>
            <x v="3"/>
            <x v="4"/>
            <x v="5"/>
            <x v="6"/>
            <x v="7"/>
            <x v="8"/>
          </reference>
        </references>
      </pivotArea>
    </format>
  </formats>
  <chartFormats count="10">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8" format="4"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F906DCA2-8458-49D3-8AB8-542825DAA70E}" sourceName="Country">
  <pivotTables>
    <pivotTable tabId="6" name="PivotTable3"/>
    <pivotTable tabId="13" name="PivotTable2"/>
    <pivotTable tabId="15" name="PivotTable4"/>
  </pivotTables>
  <data>
    <tabular pivotCacheId="1995427237">
      <items count="76">
        <i x="43" s="1"/>
        <i x="6" s="1"/>
        <i x="30" s="1"/>
        <i x="49" s="1"/>
        <i x="37" s="1"/>
        <i x="12" s="1"/>
        <i x="55" s="1"/>
        <i x="35" s="1"/>
        <i x="15" s="1"/>
        <i x="7" s="1"/>
        <i x="17" s="1"/>
        <i x="11" s="1"/>
        <i x="39" s="1"/>
        <i x="33" s="1"/>
        <i x="47" s="1"/>
        <i x="58" s="1"/>
        <i x="32" s="1"/>
        <i x="19" s="1"/>
        <i x="61" s="1"/>
        <i x="48" s="1"/>
        <i x="24" s="1"/>
        <i x="54" s="1"/>
        <i x="1" s="1"/>
        <i x="53" s="1"/>
        <i x="13" s="1"/>
        <i x="40" s="1"/>
        <i x="67" s="1"/>
        <i x="69" s="1"/>
        <i x="25" s="1"/>
        <i x="70" s="1"/>
        <i x="10" s="1"/>
        <i x="62" s="1"/>
        <i x="66" s="1"/>
        <i x="44" s="1"/>
        <i x="52" s="1"/>
        <i x="56" s="1"/>
        <i x="41" s="1"/>
        <i x="57" s="1"/>
        <i x="74" s="1"/>
        <i x="26" s="1"/>
        <i x="42" s="1"/>
        <i x="60" s="1"/>
        <i x="23" s="1"/>
        <i x="63" s="1"/>
        <i x="14" s="1"/>
        <i x="75" s="1"/>
        <i x="31" s="1"/>
        <i x="22" s="1"/>
        <i x="73" s="1"/>
        <i x="36" s="1"/>
        <i x="20" s="1"/>
        <i x="59" s="1"/>
        <i x="21" s="1"/>
        <i x="8" s="1"/>
        <i x="72" s="1"/>
        <i x="2" s="1"/>
        <i x="4" s="1"/>
        <i x="64" s="1"/>
        <i x="51" s="1"/>
        <i x="3" s="1"/>
        <i x="45" s="1"/>
        <i x="9" s="1"/>
        <i x="46" s="1"/>
        <i x="38" s="1"/>
        <i x="71" s="1"/>
        <i x="5" s="1"/>
        <i x="29" s="1"/>
        <i x="65" s="1"/>
        <i x="16" s="1"/>
        <i x="28" s="1"/>
        <i x="34" s="1"/>
        <i x="27" s="1"/>
        <i x="18" s="1"/>
        <i x="0" s="1"/>
        <i x="50" s="1"/>
        <i x="68"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A1F2177-212D-4262-ACFC-03E181EDDD77}" sourceName="Region">
  <pivotTables>
    <pivotTable tabId="6" name="PivotTable3"/>
    <pivotTable tabId="12" name="PivotTable1"/>
    <pivotTable tabId="13" name="PivotTable2"/>
    <pivotTable tabId="14" name="PivotTable3"/>
    <pivotTable tabId="15" name="PivotTable4"/>
    <pivotTable tabId="17" name="PivotTable1"/>
  </pivotTables>
  <data>
    <tabular pivotCacheId="1995427237">
      <items count="7">
        <i x="4" s="1"/>
        <i x="0" s="1"/>
        <i x="1" s="1"/>
        <i x="2" s="1"/>
        <i x="5" s="1"/>
        <i x="6"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2847EB1B-8110-4951-AED0-67922901C4F5}" sourceName="Years">
  <pivotTables>
    <pivotTable tabId="6" name="PivotTable3"/>
    <pivotTable tabId="12" name="PivotTable1"/>
    <pivotTable tabId="13" name="PivotTable2"/>
    <pivotTable tabId="14" name="PivotTable3"/>
    <pivotTable tabId="15" name="PivotTable4"/>
  </pivotTables>
  <data>
    <tabular pivotCacheId="1995427237">
      <items count="10">
        <i x="1" s="1"/>
        <i x="2" s="1"/>
        <i x="3" s="1"/>
        <i x="4" s="1"/>
        <i x="5" s="1"/>
        <i x="6" s="1"/>
        <i x="7" s="1"/>
        <i x="8" s="1"/>
        <i x="0" s="1" nd="1"/>
        <i x="9"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Type" xr10:uid="{9FF34686-AE1C-4732-9A92-6F1888C38B87}" sourceName="Item Type">
  <pivotTables>
    <pivotTable tabId="6" name="PivotTable3"/>
    <pivotTable tabId="13" name="PivotTable2"/>
    <pivotTable tabId="14" name="PivotTable3"/>
    <pivotTable tabId="15" name="PivotTable4"/>
    <pivotTable tabId="17" name="PivotTable1"/>
  </pivotTables>
  <data>
    <tabular pivotCacheId="1995427237">
      <items count="12">
        <i x="0" s="1"/>
        <i x="9" s="1"/>
        <i x="1" s="1"/>
        <i x="7" s="1"/>
        <i x="8" s="1"/>
        <i x="3" s="1"/>
        <i x="4" s="1"/>
        <i x="10" s="1"/>
        <i x="2" s="1"/>
        <i x="6" s="1"/>
        <i x="11" s="1"/>
        <i x="5"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F46CFBFE-C8E0-48CC-BDDE-603A9ED7B0DC}" sourceName="Sales Channel">
  <pivotTables>
    <pivotTable tabId="6" name="PivotTable3"/>
    <pivotTable tabId="12" name="PivotTable1"/>
    <pivotTable tabId="13" name="PivotTable2"/>
    <pivotTable tabId="14" name="PivotTable3"/>
    <pivotTable tabId="15" name="PivotTable4"/>
    <pivotTable tabId="17" name="PivotTable1"/>
  </pivotTables>
  <data>
    <tabular pivotCacheId="1995427237">
      <items count="2">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 xr10:uid="{3A3FF421-3D3F-408D-8581-A1CE3EE0987F}" sourceName="Order Date">
  <extLst>
    <x:ext xmlns:x15="http://schemas.microsoft.com/office/spreadsheetml/2010/11/main" uri="{2F2917AC-EB37-4324-AD4E-5DD8C200BD13}">
      <x15:tableSlicerCache tableId="1"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Date" xr10:uid="{4689025B-1669-4002-A15C-76BDFEB97B0C}" cache="Slicer_Order_Date" caption="Order Dat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21A14902-C481-41D9-BF6F-064B3FAA0D1A}" cache="Slicer_Country" caption="Country"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21EDAF5-E69D-4AAD-A8EC-487AAB62CC57}" cache="Slicer_Region" caption="Region" columnCount="7" rowHeight="180000"/>
  <slicer name="Years" xr10:uid="{90623482-B369-4359-9DBC-DDB2844ACD57}" cache="Slicer_Years" caption="Years" columnCount="8" style="SlicerStyleOther2" rowHeight="252000"/>
  <slicer name="Item Type" xr10:uid="{33FF3B23-E15B-454F-9DCC-D0BE79745E5A}" cache="Slicer_Item_Type" caption="Item Type" rowHeight="234950"/>
  <slicer name="Sales Channel" xr10:uid="{921584EA-5202-4176-8477-302CB6492B35}" cache="Slicer_Sales_Channel" caption="Sales Channel" columnCount="2"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N101" totalsRowShown="0">
  <autoFilter ref="A1:N101" xr:uid="{00000000-0009-0000-0100-000001000000}"/>
  <tableColumns count="14">
    <tableColumn id="1" xr3:uid="{00000000-0010-0000-0000-000001000000}" name="Region"/>
    <tableColumn id="2" xr3:uid="{00000000-0010-0000-0000-000002000000}" name="Country"/>
    <tableColumn id="3" xr3:uid="{00000000-0010-0000-0000-000003000000}" name="Item Type"/>
    <tableColumn id="4" xr3:uid="{00000000-0010-0000-0000-000004000000}" name="Sales Channel"/>
    <tableColumn id="5" xr3:uid="{00000000-0010-0000-0000-000005000000}" name="Order Priority"/>
    <tableColumn id="6" xr3:uid="{00000000-0010-0000-0000-000006000000}" name="Order Date" dataDxfId="1"/>
    <tableColumn id="7" xr3:uid="{00000000-0010-0000-0000-000007000000}" name="Order ID"/>
    <tableColumn id="8" xr3:uid="{00000000-0010-0000-0000-000008000000}" name="Ship Date"/>
    <tableColumn id="9" xr3:uid="{00000000-0010-0000-0000-000009000000}" name="Units Sold"/>
    <tableColumn id="10" xr3:uid="{00000000-0010-0000-0000-00000A000000}" name="Unit Price"/>
    <tableColumn id="11" xr3:uid="{00000000-0010-0000-0000-00000B000000}" name="Unit Cost"/>
    <tableColumn id="12" xr3:uid="{00000000-0010-0000-0000-00000C000000}" name="Total Revenue"/>
    <tableColumn id="14" xr3:uid="{00000000-0010-0000-0000-00000E000000}" name="Total Profit"/>
    <tableColumn id="13" xr3:uid="{00000000-0010-0000-0000-00000D000000}" name="Total Cos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2.bin"/><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101"/>
  <sheetViews>
    <sheetView topLeftCell="A4" workbookViewId="0">
      <selection activeCell="D25" sqref="D24:D25"/>
    </sheetView>
  </sheetViews>
  <sheetFormatPr defaultRowHeight="14.4" x14ac:dyDescent="0.3"/>
  <cols>
    <col min="2" max="2" width="9.6640625" customWidth="1"/>
    <col min="3" max="3" width="11.33203125" customWidth="1"/>
    <col min="4" max="4" width="14.44140625" customWidth="1"/>
    <col min="5" max="5" width="14.21875" customWidth="1"/>
    <col min="6" max="6" width="12" customWidth="1"/>
    <col min="7" max="7" width="9.88671875" customWidth="1"/>
    <col min="8" max="8" width="10.88671875" customWidth="1"/>
    <col min="9" max="9" width="11.33203125" customWidth="1"/>
    <col min="10" max="10" width="11" customWidth="1"/>
    <col min="11" max="11" width="10.5546875" customWidth="1"/>
    <col min="12" max="12" width="14.88671875" customWidth="1"/>
    <col min="13" max="13" width="12.21875" customWidth="1"/>
    <col min="14" max="14" width="11.21875" customWidth="1"/>
  </cols>
  <sheetData>
    <row r="1" spans="1:14" x14ac:dyDescent="0.3">
      <c r="A1" t="s">
        <v>0</v>
      </c>
      <c r="B1" t="s">
        <v>1</v>
      </c>
      <c r="C1" t="s">
        <v>2</v>
      </c>
      <c r="D1" t="s">
        <v>3</v>
      </c>
      <c r="E1" t="s">
        <v>4</v>
      </c>
      <c r="F1" t="s">
        <v>5</v>
      </c>
      <c r="G1" t="s">
        <v>6</v>
      </c>
      <c r="H1" t="s">
        <v>7</v>
      </c>
      <c r="I1" t="s">
        <v>8</v>
      </c>
      <c r="J1" t="s">
        <v>9</v>
      </c>
      <c r="K1" t="s">
        <v>10</v>
      </c>
      <c r="L1" t="s">
        <v>11</v>
      </c>
      <c r="M1" t="s">
        <v>13</v>
      </c>
      <c r="N1" t="s">
        <v>12</v>
      </c>
    </row>
    <row r="2" spans="1:14" x14ac:dyDescent="0.3">
      <c r="A2" t="s">
        <v>14</v>
      </c>
      <c r="B2" t="s">
        <v>15</v>
      </c>
      <c r="C2" t="s">
        <v>16</v>
      </c>
      <c r="D2" t="s">
        <v>17</v>
      </c>
      <c r="E2" t="s">
        <v>18</v>
      </c>
      <c r="F2" s="1">
        <v>40326</v>
      </c>
      <c r="G2">
        <v>669165933</v>
      </c>
      <c r="H2" s="1">
        <v>40356</v>
      </c>
      <c r="I2">
        <v>9925</v>
      </c>
      <c r="J2">
        <v>255.28</v>
      </c>
      <c r="K2">
        <v>159.41999999999999</v>
      </c>
      <c r="L2">
        <v>2533654</v>
      </c>
      <c r="M2">
        <v>951410.5</v>
      </c>
      <c r="N2">
        <v>1582243.5</v>
      </c>
    </row>
    <row r="3" spans="1:14" x14ac:dyDescent="0.3">
      <c r="A3" t="s">
        <v>19</v>
      </c>
      <c r="B3" t="s">
        <v>20</v>
      </c>
      <c r="C3" t="s">
        <v>21</v>
      </c>
      <c r="D3" t="s">
        <v>22</v>
      </c>
      <c r="E3" t="s">
        <v>23</v>
      </c>
      <c r="F3" s="1">
        <v>41143</v>
      </c>
      <c r="G3">
        <v>963881480</v>
      </c>
      <c r="H3" s="1">
        <v>41167</v>
      </c>
      <c r="I3">
        <v>2804</v>
      </c>
      <c r="J3">
        <v>205.7</v>
      </c>
      <c r="K3">
        <v>117.11</v>
      </c>
      <c r="L3">
        <v>576782.80000000005</v>
      </c>
      <c r="M3">
        <v>248406.36</v>
      </c>
      <c r="N3">
        <v>328376.44</v>
      </c>
    </row>
    <row r="4" spans="1:14" x14ac:dyDescent="0.3">
      <c r="A4" t="s">
        <v>24</v>
      </c>
      <c r="B4" t="s">
        <v>25</v>
      </c>
      <c r="C4" t="s">
        <v>26</v>
      </c>
      <c r="D4" t="s">
        <v>17</v>
      </c>
      <c r="E4" t="s">
        <v>27</v>
      </c>
      <c r="F4" s="1">
        <v>41761</v>
      </c>
      <c r="G4">
        <v>341417157</v>
      </c>
      <c r="H4" s="1">
        <v>41767</v>
      </c>
      <c r="I4">
        <v>1779</v>
      </c>
      <c r="J4">
        <v>651.21</v>
      </c>
      <c r="K4">
        <v>524.96</v>
      </c>
      <c r="L4">
        <v>1158502.5900000001</v>
      </c>
      <c r="M4">
        <v>224598.75</v>
      </c>
      <c r="N4">
        <v>933903.84</v>
      </c>
    </row>
    <row r="5" spans="1:14" x14ac:dyDescent="0.3">
      <c r="A5" t="s">
        <v>28</v>
      </c>
      <c r="B5" t="s">
        <v>29</v>
      </c>
      <c r="C5" t="s">
        <v>30</v>
      </c>
      <c r="D5" t="s">
        <v>22</v>
      </c>
      <c r="E5" t="s">
        <v>23</v>
      </c>
      <c r="F5" s="1">
        <v>41810</v>
      </c>
      <c r="G5">
        <v>514321792</v>
      </c>
      <c r="H5" s="1">
        <v>41825</v>
      </c>
      <c r="I5">
        <v>8102</v>
      </c>
      <c r="J5">
        <v>9.33</v>
      </c>
      <c r="K5">
        <v>6.92</v>
      </c>
      <c r="L5">
        <v>75591.66</v>
      </c>
      <c r="M5">
        <v>19525.82</v>
      </c>
      <c r="N5">
        <v>56065.84</v>
      </c>
    </row>
    <row r="6" spans="1:14" x14ac:dyDescent="0.3">
      <c r="A6" t="s">
        <v>28</v>
      </c>
      <c r="B6" t="s">
        <v>31</v>
      </c>
      <c r="C6" t="s">
        <v>26</v>
      </c>
      <c r="D6" t="s">
        <v>17</v>
      </c>
      <c r="E6" t="s">
        <v>27</v>
      </c>
      <c r="F6" s="1">
        <v>41306</v>
      </c>
      <c r="G6">
        <v>115456712</v>
      </c>
      <c r="H6" s="1">
        <v>41311</v>
      </c>
      <c r="I6">
        <v>5062</v>
      </c>
      <c r="J6">
        <v>651.21</v>
      </c>
      <c r="K6">
        <v>524.96</v>
      </c>
      <c r="L6">
        <v>3296425.02</v>
      </c>
      <c r="M6">
        <v>639077.5</v>
      </c>
      <c r="N6">
        <v>2657347.52</v>
      </c>
    </row>
    <row r="7" spans="1:14" x14ac:dyDescent="0.3">
      <c r="A7" t="s">
        <v>14</v>
      </c>
      <c r="B7" t="s">
        <v>32</v>
      </c>
      <c r="C7" t="s">
        <v>16</v>
      </c>
      <c r="D7" t="s">
        <v>22</v>
      </c>
      <c r="E7" t="s">
        <v>23</v>
      </c>
      <c r="F7" s="1">
        <v>42039</v>
      </c>
      <c r="G7">
        <v>547995746</v>
      </c>
      <c r="H7" s="1">
        <v>42056</v>
      </c>
      <c r="I7">
        <v>2974</v>
      </c>
      <c r="J7">
        <v>255.28</v>
      </c>
      <c r="K7">
        <v>159.41999999999999</v>
      </c>
      <c r="L7">
        <v>759202.72</v>
      </c>
      <c r="M7">
        <v>285087.64</v>
      </c>
      <c r="N7">
        <v>474115.08</v>
      </c>
    </row>
    <row r="8" spans="1:14" x14ac:dyDescent="0.3">
      <c r="A8" t="s">
        <v>28</v>
      </c>
      <c r="B8" t="s">
        <v>33</v>
      </c>
      <c r="C8" t="s">
        <v>34</v>
      </c>
      <c r="D8" t="s">
        <v>17</v>
      </c>
      <c r="E8" t="s">
        <v>35</v>
      </c>
      <c r="F8" s="1">
        <v>40656</v>
      </c>
      <c r="G8">
        <v>135425221</v>
      </c>
      <c r="H8" s="1">
        <v>40660</v>
      </c>
      <c r="I8">
        <v>4187</v>
      </c>
      <c r="J8">
        <v>668.27</v>
      </c>
      <c r="K8">
        <v>502.54</v>
      </c>
      <c r="L8">
        <v>2798046.49</v>
      </c>
      <c r="M8">
        <v>693911.51</v>
      </c>
      <c r="N8">
        <v>2104134.98</v>
      </c>
    </row>
    <row r="9" spans="1:14" x14ac:dyDescent="0.3">
      <c r="A9" t="s">
        <v>28</v>
      </c>
      <c r="B9" t="s">
        <v>36</v>
      </c>
      <c r="C9" t="s">
        <v>37</v>
      </c>
      <c r="D9" t="s">
        <v>22</v>
      </c>
      <c r="E9" t="s">
        <v>18</v>
      </c>
      <c r="F9" s="1">
        <v>41107</v>
      </c>
      <c r="G9">
        <v>871543967</v>
      </c>
      <c r="H9" s="1">
        <v>41117</v>
      </c>
      <c r="I9">
        <v>8082</v>
      </c>
      <c r="J9">
        <v>154.06</v>
      </c>
      <c r="K9">
        <v>90.93</v>
      </c>
      <c r="L9">
        <v>1245112.92</v>
      </c>
      <c r="M9">
        <v>510216.66</v>
      </c>
      <c r="N9">
        <v>734896.26</v>
      </c>
    </row>
    <row r="10" spans="1:14" x14ac:dyDescent="0.3">
      <c r="A10" t="s">
        <v>28</v>
      </c>
      <c r="B10" t="s">
        <v>38</v>
      </c>
      <c r="C10" t="s">
        <v>39</v>
      </c>
      <c r="D10" t="s">
        <v>17</v>
      </c>
      <c r="E10" t="s">
        <v>35</v>
      </c>
      <c r="F10" s="1">
        <v>42199</v>
      </c>
      <c r="G10">
        <v>770463311</v>
      </c>
      <c r="H10" s="1">
        <v>42241</v>
      </c>
      <c r="I10">
        <v>6070</v>
      </c>
      <c r="J10">
        <v>81.73</v>
      </c>
      <c r="K10">
        <v>56.67</v>
      </c>
      <c r="L10">
        <v>496101.1</v>
      </c>
      <c r="M10">
        <v>152114.20000000001</v>
      </c>
      <c r="N10">
        <v>343986.9</v>
      </c>
    </row>
    <row r="11" spans="1:14" x14ac:dyDescent="0.3">
      <c r="A11" t="s">
        <v>28</v>
      </c>
      <c r="B11" t="s">
        <v>40</v>
      </c>
      <c r="C11" t="s">
        <v>21</v>
      </c>
      <c r="D11" t="s">
        <v>22</v>
      </c>
      <c r="E11" t="s">
        <v>18</v>
      </c>
      <c r="F11" s="1">
        <v>41747</v>
      </c>
      <c r="G11">
        <v>616607081</v>
      </c>
      <c r="H11" s="1">
        <v>41789</v>
      </c>
      <c r="I11">
        <v>6593</v>
      </c>
      <c r="J11">
        <v>205.7</v>
      </c>
      <c r="K11">
        <v>117.11</v>
      </c>
      <c r="L11">
        <v>1356180.1</v>
      </c>
      <c r="M11">
        <v>584073.87</v>
      </c>
      <c r="N11">
        <v>772106.23</v>
      </c>
    </row>
    <row r="12" spans="1:14" x14ac:dyDescent="0.3">
      <c r="A12" t="s">
        <v>41</v>
      </c>
      <c r="B12" t="s">
        <v>42</v>
      </c>
      <c r="C12" t="s">
        <v>37</v>
      </c>
      <c r="D12" t="s">
        <v>22</v>
      </c>
      <c r="E12" t="s">
        <v>18</v>
      </c>
      <c r="F12" s="1">
        <v>40718</v>
      </c>
      <c r="G12">
        <v>814711606</v>
      </c>
      <c r="H12" s="1">
        <v>40736</v>
      </c>
      <c r="I12">
        <v>124</v>
      </c>
      <c r="J12">
        <v>154.06</v>
      </c>
      <c r="K12">
        <v>90.93</v>
      </c>
      <c r="L12">
        <v>19103.439999999999</v>
      </c>
      <c r="M12">
        <v>7828.12</v>
      </c>
      <c r="N12">
        <v>11275.32</v>
      </c>
    </row>
    <row r="13" spans="1:14" x14ac:dyDescent="0.3">
      <c r="A13" t="s">
        <v>28</v>
      </c>
      <c r="B13" t="s">
        <v>43</v>
      </c>
      <c r="C13" t="s">
        <v>44</v>
      </c>
      <c r="D13" t="s">
        <v>17</v>
      </c>
      <c r="E13" t="s">
        <v>18</v>
      </c>
      <c r="F13" s="1">
        <v>41853</v>
      </c>
      <c r="G13">
        <v>939825713</v>
      </c>
      <c r="H13" s="1">
        <v>41870</v>
      </c>
      <c r="I13">
        <v>4168</v>
      </c>
      <c r="J13">
        <v>109.28</v>
      </c>
      <c r="K13">
        <v>35.840000000000003</v>
      </c>
      <c r="L13">
        <v>455479.03999999998</v>
      </c>
      <c r="M13">
        <v>306097.91999999998</v>
      </c>
      <c r="N13">
        <v>149381.12</v>
      </c>
    </row>
    <row r="14" spans="1:14" x14ac:dyDescent="0.3">
      <c r="A14" t="s">
        <v>41</v>
      </c>
      <c r="B14" t="s">
        <v>45</v>
      </c>
      <c r="C14" t="s">
        <v>44</v>
      </c>
      <c r="D14" t="s">
        <v>22</v>
      </c>
      <c r="E14" t="s">
        <v>27</v>
      </c>
      <c r="F14" s="1">
        <v>42748</v>
      </c>
      <c r="G14">
        <v>187310731</v>
      </c>
      <c r="H14" s="1">
        <v>42795</v>
      </c>
      <c r="I14">
        <v>8263</v>
      </c>
      <c r="J14">
        <v>109.28</v>
      </c>
      <c r="K14">
        <v>35.840000000000003</v>
      </c>
      <c r="L14">
        <v>902980.64</v>
      </c>
      <c r="M14">
        <v>606834.72</v>
      </c>
      <c r="N14">
        <v>296145.91999999998</v>
      </c>
    </row>
    <row r="15" spans="1:14" x14ac:dyDescent="0.3">
      <c r="A15" t="s">
        <v>19</v>
      </c>
      <c r="B15" t="s">
        <v>46</v>
      </c>
      <c r="C15" t="s">
        <v>34</v>
      </c>
      <c r="D15" t="s">
        <v>17</v>
      </c>
      <c r="E15" t="s">
        <v>18</v>
      </c>
      <c r="F15" s="1">
        <v>42774</v>
      </c>
      <c r="G15">
        <v>522840487</v>
      </c>
      <c r="H15" s="1">
        <v>42779</v>
      </c>
      <c r="I15">
        <v>8974</v>
      </c>
      <c r="J15">
        <v>668.27</v>
      </c>
      <c r="K15">
        <v>502.54</v>
      </c>
      <c r="L15">
        <v>5997054.9800000004</v>
      </c>
      <c r="M15">
        <v>1487261.02</v>
      </c>
      <c r="N15">
        <v>4509793.96</v>
      </c>
    </row>
    <row r="16" spans="1:14" x14ac:dyDescent="0.3">
      <c r="A16" t="s">
        <v>41</v>
      </c>
      <c r="B16" t="s">
        <v>47</v>
      </c>
      <c r="C16" t="s">
        <v>39</v>
      </c>
      <c r="D16" t="s">
        <v>17</v>
      </c>
      <c r="E16" t="s">
        <v>23</v>
      </c>
      <c r="F16" s="1">
        <v>41689</v>
      </c>
      <c r="G16">
        <v>832401311</v>
      </c>
      <c r="H16" s="1">
        <v>41693</v>
      </c>
      <c r="I16">
        <v>4901</v>
      </c>
      <c r="J16">
        <v>81.73</v>
      </c>
      <c r="K16">
        <v>56.67</v>
      </c>
      <c r="L16">
        <v>400558.73</v>
      </c>
      <c r="M16">
        <v>122819.06</v>
      </c>
      <c r="N16">
        <v>277739.67</v>
      </c>
    </row>
    <row r="17" spans="1:14" x14ac:dyDescent="0.3">
      <c r="A17" t="s">
        <v>24</v>
      </c>
      <c r="B17" t="s">
        <v>48</v>
      </c>
      <c r="C17" t="s">
        <v>44</v>
      </c>
      <c r="D17" t="s">
        <v>22</v>
      </c>
      <c r="E17" t="s">
        <v>35</v>
      </c>
      <c r="F17" s="1">
        <v>41022</v>
      </c>
      <c r="G17">
        <v>972292029</v>
      </c>
      <c r="H17" s="1">
        <v>41063</v>
      </c>
      <c r="I17">
        <v>1673</v>
      </c>
      <c r="J17">
        <v>109.28</v>
      </c>
      <c r="K17">
        <v>35.840000000000003</v>
      </c>
      <c r="L17">
        <v>182825.44</v>
      </c>
      <c r="M17">
        <v>122865.12</v>
      </c>
      <c r="N17">
        <v>59960.32</v>
      </c>
    </row>
    <row r="18" spans="1:14" x14ac:dyDescent="0.3">
      <c r="A18" t="s">
        <v>41</v>
      </c>
      <c r="B18" t="s">
        <v>49</v>
      </c>
      <c r="C18" t="s">
        <v>50</v>
      </c>
      <c r="D18" t="s">
        <v>17</v>
      </c>
      <c r="E18" t="s">
        <v>35</v>
      </c>
      <c r="F18" s="1">
        <v>42693</v>
      </c>
      <c r="G18">
        <v>419123971</v>
      </c>
      <c r="H18" s="1">
        <v>42722</v>
      </c>
      <c r="I18">
        <v>6952</v>
      </c>
      <c r="J18">
        <v>437.2</v>
      </c>
      <c r="K18">
        <v>263.33</v>
      </c>
      <c r="L18">
        <v>3039414.4</v>
      </c>
      <c r="M18">
        <v>1208744.24</v>
      </c>
      <c r="N18">
        <v>1830670.16</v>
      </c>
    </row>
    <row r="19" spans="1:14" x14ac:dyDescent="0.3">
      <c r="A19" t="s">
        <v>28</v>
      </c>
      <c r="B19" t="s">
        <v>51</v>
      </c>
      <c r="C19" t="s">
        <v>52</v>
      </c>
      <c r="D19" t="s">
        <v>17</v>
      </c>
      <c r="E19" t="s">
        <v>23</v>
      </c>
      <c r="F19" s="1">
        <v>42095</v>
      </c>
      <c r="G19">
        <v>519820964</v>
      </c>
      <c r="H19" s="1">
        <v>42112</v>
      </c>
      <c r="I19">
        <v>5430</v>
      </c>
      <c r="J19">
        <v>47.45</v>
      </c>
      <c r="K19">
        <v>31.79</v>
      </c>
      <c r="L19">
        <v>257653.5</v>
      </c>
      <c r="M19">
        <v>85033.8</v>
      </c>
      <c r="N19">
        <v>172619.7</v>
      </c>
    </row>
    <row r="20" spans="1:14" x14ac:dyDescent="0.3">
      <c r="A20" t="s">
        <v>41</v>
      </c>
      <c r="B20" t="s">
        <v>53</v>
      </c>
      <c r="C20" t="s">
        <v>34</v>
      </c>
      <c r="D20" t="s">
        <v>17</v>
      </c>
      <c r="E20" t="s">
        <v>27</v>
      </c>
      <c r="F20" s="1">
        <v>40542</v>
      </c>
      <c r="G20">
        <v>441619336</v>
      </c>
      <c r="H20" s="1">
        <v>40563</v>
      </c>
      <c r="I20">
        <v>3830</v>
      </c>
      <c r="J20">
        <v>668.27</v>
      </c>
      <c r="K20">
        <v>502.54</v>
      </c>
      <c r="L20">
        <v>2559474.1</v>
      </c>
      <c r="M20">
        <v>634745.9</v>
      </c>
      <c r="N20">
        <v>1924728.2</v>
      </c>
    </row>
    <row r="21" spans="1:14" x14ac:dyDescent="0.3">
      <c r="A21" t="s">
        <v>14</v>
      </c>
      <c r="B21" t="s">
        <v>54</v>
      </c>
      <c r="C21" t="s">
        <v>55</v>
      </c>
      <c r="D21" t="s">
        <v>22</v>
      </c>
      <c r="E21" t="s">
        <v>27</v>
      </c>
      <c r="F21" s="1">
        <v>41121</v>
      </c>
      <c r="G21">
        <v>322067916</v>
      </c>
      <c r="H21" s="1">
        <v>41163</v>
      </c>
      <c r="I21">
        <v>5908</v>
      </c>
      <c r="J21">
        <v>421.89</v>
      </c>
      <c r="K21">
        <v>364.69</v>
      </c>
      <c r="L21">
        <v>2492526.12</v>
      </c>
      <c r="M21">
        <v>337937.6</v>
      </c>
      <c r="N21">
        <v>2154588.52</v>
      </c>
    </row>
    <row r="22" spans="1:14" x14ac:dyDescent="0.3">
      <c r="A22" t="s">
        <v>24</v>
      </c>
      <c r="B22" t="s">
        <v>56</v>
      </c>
      <c r="C22" t="s">
        <v>16</v>
      </c>
      <c r="D22" t="s">
        <v>22</v>
      </c>
      <c r="E22" t="s">
        <v>27</v>
      </c>
      <c r="F22" s="1">
        <v>41773</v>
      </c>
      <c r="G22">
        <v>819028031</v>
      </c>
      <c r="H22" s="1">
        <v>41818</v>
      </c>
      <c r="I22">
        <v>7450</v>
      </c>
      <c r="J22">
        <v>255.28</v>
      </c>
      <c r="K22">
        <v>159.41999999999999</v>
      </c>
      <c r="L22">
        <v>1901836</v>
      </c>
      <c r="M22">
        <v>714157</v>
      </c>
      <c r="N22">
        <v>1187679</v>
      </c>
    </row>
    <row r="23" spans="1:14" x14ac:dyDescent="0.3">
      <c r="A23" t="s">
        <v>24</v>
      </c>
      <c r="B23" t="s">
        <v>57</v>
      </c>
      <c r="C23" t="s">
        <v>16</v>
      </c>
      <c r="D23" t="s">
        <v>22</v>
      </c>
      <c r="E23" t="s">
        <v>18</v>
      </c>
      <c r="F23" s="1">
        <v>42216</v>
      </c>
      <c r="G23">
        <v>860673511</v>
      </c>
      <c r="H23" s="1">
        <v>42250</v>
      </c>
      <c r="I23">
        <v>1273</v>
      </c>
      <c r="J23">
        <v>255.28</v>
      </c>
      <c r="K23">
        <v>159.41999999999999</v>
      </c>
      <c r="L23">
        <v>324971.44</v>
      </c>
      <c r="M23">
        <v>122029.78</v>
      </c>
      <c r="N23">
        <v>202941.66</v>
      </c>
    </row>
    <row r="24" spans="1:14" x14ac:dyDescent="0.3">
      <c r="A24" t="s">
        <v>19</v>
      </c>
      <c r="B24" t="s">
        <v>46</v>
      </c>
      <c r="C24" t="s">
        <v>58</v>
      </c>
      <c r="D24" t="s">
        <v>22</v>
      </c>
      <c r="E24" t="s">
        <v>27</v>
      </c>
      <c r="F24" s="1">
        <v>42551</v>
      </c>
      <c r="G24">
        <v>795490682</v>
      </c>
      <c r="H24" s="1">
        <v>42577</v>
      </c>
      <c r="I24">
        <v>2225</v>
      </c>
      <c r="J24">
        <v>152.58000000000001</v>
      </c>
      <c r="K24">
        <v>97.44</v>
      </c>
      <c r="L24">
        <v>339490.5</v>
      </c>
      <c r="M24">
        <v>122686.5</v>
      </c>
      <c r="N24">
        <v>216804</v>
      </c>
    </row>
    <row r="25" spans="1:14" x14ac:dyDescent="0.3">
      <c r="A25" t="s">
        <v>14</v>
      </c>
      <c r="B25" t="s">
        <v>59</v>
      </c>
      <c r="C25" t="s">
        <v>30</v>
      </c>
      <c r="D25" t="s">
        <v>22</v>
      </c>
      <c r="E25" t="s">
        <v>18</v>
      </c>
      <c r="F25" s="1">
        <v>41890</v>
      </c>
      <c r="G25">
        <v>142278373</v>
      </c>
      <c r="H25" s="1">
        <v>41916</v>
      </c>
      <c r="I25">
        <v>2187</v>
      </c>
      <c r="J25">
        <v>9.33</v>
      </c>
      <c r="K25">
        <v>6.92</v>
      </c>
      <c r="L25">
        <v>20404.71</v>
      </c>
      <c r="M25">
        <v>5270.67</v>
      </c>
      <c r="N25">
        <v>15134.04</v>
      </c>
    </row>
    <row r="26" spans="1:14" x14ac:dyDescent="0.3">
      <c r="A26" t="s">
        <v>24</v>
      </c>
      <c r="B26" t="s">
        <v>60</v>
      </c>
      <c r="C26" t="s">
        <v>39</v>
      </c>
      <c r="D26" t="s">
        <v>22</v>
      </c>
      <c r="E26" t="s">
        <v>27</v>
      </c>
      <c r="F26" s="1">
        <v>42497</v>
      </c>
      <c r="G26">
        <v>740147912</v>
      </c>
      <c r="H26" s="1">
        <v>42500</v>
      </c>
      <c r="I26">
        <v>5070</v>
      </c>
      <c r="J26">
        <v>81.73</v>
      </c>
      <c r="K26">
        <v>56.67</v>
      </c>
      <c r="L26">
        <v>414371.1</v>
      </c>
      <c r="M26">
        <v>127054.2</v>
      </c>
      <c r="N26">
        <v>287316.90000000002</v>
      </c>
    </row>
    <row r="27" spans="1:14" x14ac:dyDescent="0.3">
      <c r="A27" t="s">
        <v>24</v>
      </c>
      <c r="B27" t="s">
        <v>61</v>
      </c>
      <c r="C27" t="s">
        <v>50</v>
      </c>
      <c r="D27" t="s">
        <v>22</v>
      </c>
      <c r="E27" t="s">
        <v>18</v>
      </c>
      <c r="F27" s="1">
        <v>42877</v>
      </c>
      <c r="G27">
        <v>898523128</v>
      </c>
      <c r="H27" s="1">
        <v>42891</v>
      </c>
      <c r="I27">
        <v>1815</v>
      </c>
      <c r="J27">
        <v>437.2</v>
      </c>
      <c r="K27">
        <v>263.33</v>
      </c>
      <c r="L27">
        <v>793518</v>
      </c>
      <c r="M27">
        <v>315574.05</v>
      </c>
      <c r="N27">
        <v>477943.95</v>
      </c>
    </row>
    <row r="28" spans="1:14" x14ac:dyDescent="0.3">
      <c r="A28" t="s">
        <v>14</v>
      </c>
      <c r="B28" t="s">
        <v>62</v>
      </c>
      <c r="C28" t="s">
        <v>30</v>
      </c>
      <c r="D28" t="s">
        <v>22</v>
      </c>
      <c r="E28" t="s">
        <v>35</v>
      </c>
      <c r="F28" s="1">
        <v>41925</v>
      </c>
      <c r="G28">
        <v>347140347</v>
      </c>
      <c r="H28" s="1">
        <v>41953</v>
      </c>
      <c r="I28">
        <v>5398</v>
      </c>
      <c r="J28">
        <v>9.33</v>
      </c>
      <c r="K28">
        <v>6.92</v>
      </c>
      <c r="L28">
        <v>50363.34</v>
      </c>
      <c r="M28">
        <v>13009.18</v>
      </c>
      <c r="N28">
        <v>37354.160000000003</v>
      </c>
    </row>
    <row r="29" spans="1:14" x14ac:dyDescent="0.3">
      <c r="A29" t="s">
        <v>28</v>
      </c>
      <c r="B29" t="s">
        <v>63</v>
      </c>
      <c r="C29" t="s">
        <v>30</v>
      </c>
      <c r="D29" t="s">
        <v>22</v>
      </c>
      <c r="E29" t="s">
        <v>27</v>
      </c>
      <c r="F29" s="1">
        <v>40305</v>
      </c>
      <c r="G29">
        <v>686048400</v>
      </c>
      <c r="H29" s="1">
        <v>40308</v>
      </c>
      <c r="I29">
        <v>5822</v>
      </c>
      <c r="J29">
        <v>9.33</v>
      </c>
      <c r="K29">
        <v>6.92</v>
      </c>
      <c r="L29">
        <v>54319.26</v>
      </c>
      <c r="M29">
        <v>14031.02</v>
      </c>
      <c r="N29">
        <v>40288.239999999998</v>
      </c>
    </row>
    <row r="30" spans="1:14" x14ac:dyDescent="0.3">
      <c r="A30" t="s">
        <v>24</v>
      </c>
      <c r="B30" t="s">
        <v>56</v>
      </c>
      <c r="C30" t="s">
        <v>52</v>
      </c>
      <c r="D30" t="s">
        <v>17</v>
      </c>
      <c r="E30" t="s">
        <v>23</v>
      </c>
      <c r="F30" s="1">
        <v>41838</v>
      </c>
      <c r="G30">
        <v>435608613</v>
      </c>
      <c r="H30" s="1">
        <v>41850</v>
      </c>
      <c r="I30">
        <v>5124</v>
      </c>
      <c r="J30">
        <v>47.45</v>
      </c>
      <c r="K30">
        <v>31.79</v>
      </c>
      <c r="L30">
        <v>243133.8</v>
      </c>
      <c r="M30">
        <v>80241.84</v>
      </c>
      <c r="N30">
        <v>162891.96</v>
      </c>
    </row>
    <row r="31" spans="1:14" x14ac:dyDescent="0.3">
      <c r="A31" t="s">
        <v>28</v>
      </c>
      <c r="B31" t="s">
        <v>64</v>
      </c>
      <c r="C31" t="s">
        <v>34</v>
      </c>
      <c r="D31" t="s">
        <v>17</v>
      </c>
      <c r="E31" t="s">
        <v>27</v>
      </c>
      <c r="F31" s="1">
        <v>41055</v>
      </c>
      <c r="G31">
        <v>886494815</v>
      </c>
      <c r="H31" s="1">
        <v>41069</v>
      </c>
      <c r="I31">
        <v>2370</v>
      </c>
      <c r="J31">
        <v>668.27</v>
      </c>
      <c r="K31">
        <v>502.54</v>
      </c>
      <c r="L31">
        <v>1583799.9</v>
      </c>
      <c r="M31">
        <v>392780.1</v>
      </c>
      <c r="N31">
        <v>1191019.8</v>
      </c>
    </row>
    <row r="32" spans="1:14" x14ac:dyDescent="0.3">
      <c r="A32" t="s">
        <v>24</v>
      </c>
      <c r="B32" t="s">
        <v>65</v>
      </c>
      <c r="C32" t="s">
        <v>50</v>
      </c>
      <c r="D32" t="s">
        <v>17</v>
      </c>
      <c r="E32" t="s">
        <v>35</v>
      </c>
      <c r="F32" s="1">
        <v>41169</v>
      </c>
      <c r="G32">
        <v>249693334</v>
      </c>
      <c r="H32" s="1">
        <v>41202</v>
      </c>
      <c r="I32">
        <v>8661</v>
      </c>
      <c r="J32">
        <v>437.2</v>
      </c>
      <c r="K32">
        <v>263.33</v>
      </c>
      <c r="L32">
        <v>3786589.2</v>
      </c>
      <c r="M32">
        <v>1505888.07</v>
      </c>
      <c r="N32">
        <v>2280701.13</v>
      </c>
    </row>
    <row r="33" spans="1:14" x14ac:dyDescent="0.3">
      <c r="A33" t="s">
        <v>28</v>
      </c>
      <c r="B33" t="s">
        <v>66</v>
      </c>
      <c r="C33" t="s">
        <v>39</v>
      </c>
      <c r="D33" t="s">
        <v>17</v>
      </c>
      <c r="E33" t="s">
        <v>23</v>
      </c>
      <c r="F33" s="1">
        <v>41637</v>
      </c>
      <c r="G33">
        <v>406502997</v>
      </c>
      <c r="H33" s="1">
        <v>41667</v>
      </c>
      <c r="I33">
        <v>2125</v>
      </c>
      <c r="J33">
        <v>81.73</v>
      </c>
      <c r="K33">
        <v>56.67</v>
      </c>
      <c r="L33">
        <v>173676.25</v>
      </c>
      <c r="M33">
        <v>53252.5</v>
      </c>
      <c r="N33">
        <v>120423.75</v>
      </c>
    </row>
    <row r="34" spans="1:14" x14ac:dyDescent="0.3">
      <c r="A34" t="s">
        <v>14</v>
      </c>
      <c r="B34" t="s">
        <v>67</v>
      </c>
      <c r="C34" t="s">
        <v>26</v>
      </c>
      <c r="D34" t="s">
        <v>22</v>
      </c>
      <c r="E34" t="s">
        <v>23</v>
      </c>
      <c r="F34" s="1">
        <v>42304</v>
      </c>
      <c r="G34">
        <v>158535134</v>
      </c>
      <c r="H34" s="1">
        <v>42333</v>
      </c>
      <c r="I34">
        <v>2924</v>
      </c>
      <c r="J34">
        <v>651.21</v>
      </c>
      <c r="K34">
        <v>524.96</v>
      </c>
      <c r="L34">
        <v>1904138.04</v>
      </c>
      <c r="M34">
        <v>369155</v>
      </c>
      <c r="N34">
        <v>1534983.04</v>
      </c>
    </row>
    <row r="35" spans="1:14" x14ac:dyDescent="0.3">
      <c r="A35" t="s">
        <v>41</v>
      </c>
      <c r="B35" t="s">
        <v>68</v>
      </c>
      <c r="C35" t="s">
        <v>34</v>
      </c>
      <c r="D35" t="s">
        <v>17</v>
      </c>
      <c r="E35" t="s">
        <v>18</v>
      </c>
      <c r="F35" s="1">
        <v>42020</v>
      </c>
      <c r="G35">
        <v>177713572</v>
      </c>
      <c r="H35" s="1">
        <v>42064</v>
      </c>
      <c r="I35">
        <v>8250</v>
      </c>
      <c r="J35">
        <v>668.27</v>
      </c>
      <c r="K35">
        <v>502.54</v>
      </c>
      <c r="L35">
        <v>5513227.5</v>
      </c>
      <c r="M35">
        <v>1367272.5</v>
      </c>
      <c r="N35">
        <v>4145955</v>
      </c>
    </row>
    <row r="36" spans="1:14" x14ac:dyDescent="0.3">
      <c r="A36" t="s">
        <v>28</v>
      </c>
      <c r="B36" t="s">
        <v>69</v>
      </c>
      <c r="C36" t="s">
        <v>58</v>
      </c>
      <c r="D36" t="s">
        <v>22</v>
      </c>
      <c r="E36" t="s">
        <v>35</v>
      </c>
      <c r="F36" s="1">
        <v>42791</v>
      </c>
      <c r="G36">
        <v>756274640</v>
      </c>
      <c r="H36" s="1">
        <v>42791</v>
      </c>
      <c r="I36">
        <v>7327</v>
      </c>
      <c r="J36">
        <v>152.58000000000001</v>
      </c>
      <c r="K36">
        <v>97.44</v>
      </c>
      <c r="L36">
        <v>1117953.6599999999</v>
      </c>
      <c r="M36">
        <v>404010.78</v>
      </c>
      <c r="N36">
        <v>713942.88</v>
      </c>
    </row>
    <row r="37" spans="1:14" x14ac:dyDescent="0.3">
      <c r="A37" t="s">
        <v>19</v>
      </c>
      <c r="B37" t="s">
        <v>70</v>
      </c>
      <c r="C37" t="s">
        <v>39</v>
      </c>
      <c r="D37" t="s">
        <v>17</v>
      </c>
      <c r="E37" t="s">
        <v>27</v>
      </c>
      <c r="F37" s="1">
        <v>42863</v>
      </c>
      <c r="G37">
        <v>456767165</v>
      </c>
      <c r="H37" s="1">
        <v>42876</v>
      </c>
      <c r="I37">
        <v>6409</v>
      </c>
      <c r="J37">
        <v>81.73</v>
      </c>
      <c r="K37">
        <v>56.67</v>
      </c>
      <c r="L37">
        <v>523807.57</v>
      </c>
      <c r="M37">
        <v>160609.54</v>
      </c>
      <c r="N37">
        <v>363198.03</v>
      </c>
    </row>
    <row r="38" spans="1:14" x14ac:dyDescent="0.3">
      <c r="A38" t="s">
        <v>71</v>
      </c>
      <c r="B38" t="s">
        <v>72</v>
      </c>
      <c r="C38" t="s">
        <v>30</v>
      </c>
      <c r="D38" t="s">
        <v>22</v>
      </c>
      <c r="E38" t="s">
        <v>27</v>
      </c>
      <c r="F38" s="1">
        <v>40869</v>
      </c>
      <c r="G38">
        <v>162052476</v>
      </c>
      <c r="H38" s="1">
        <v>40880</v>
      </c>
      <c r="I38">
        <v>3784</v>
      </c>
      <c r="J38">
        <v>9.33</v>
      </c>
      <c r="K38">
        <v>6.92</v>
      </c>
      <c r="L38">
        <v>35304.720000000001</v>
      </c>
      <c r="M38">
        <v>9119.44</v>
      </c>
      <c r="N38">
        <v>26185.279999999999</v>
      </c>
    </row>
    <row r="39" spans="1:14" x14ac:dyDescent="0.3">
      <c r="A39" t="s">
        <v>28</v>
      </c>
      <c r="B39" t="s">
        <v>64</v>
      </c>
      <c r="C39" t="s">
        <v>55</v>
      </c>
      <c r="D39" t="s">
        <v>22</v>
      </c>
      <c r="E39" t="s">
        <v>35</v>
      </c>
      <c r="F39" s="1">
        <v>42749</v>
      </c>
      <c r="G39">
        <v>825304400</v>
      </c>
      <c r="H39" s="1">
        <v>42758</v>
      </c>
      <c r="I39">
        <v>4767</v>
      </c>
      <c r="J39">
        <v>421.89</v>
      </c>
      <c r="K39">
        <v>364.69</v>
      </c>
      <c r="L39">
        <v>2011149.63</v>
      </c>
      <c r="M39">
        <v>272672.40000000002</v>
      </c>
      <c r="N39">
        <v>1738477.23</v>
      </c>
    </row>
    <row r="40" spans="1:14" x14ac:dyDescent="0.3">
      <c r="A40" t="s">
        <v>41</v>
      </c>
      <c r="B40" t="s">
        <v>73</v>
      </c>
      <c r="C40" t="s">
        <v>26</v>
      </c>
      <c r="D40" t="s">
        <v>22</v>
      </c>
      <c r="E40" t="s">
        <v>27</v>
      </c>
      <c r="F40" s="1">
        <v>41000</v>
      </c>
      <c r="G40">
        <v>320009267</v>
      </c>
      <c r="H40" s="1">
        <v>41037</v>
      </c>
      <c r="I40">
        <v>6708</v>
      </c>
      <c r="J40">
        <v>651.21</v>
      </c>
      <c r="K40">
        <v>524.96</v>
      </c>
      <c r="L40">
        <v>4368316.68</v>
      </c>
      <c r="M40">
        <v>846885</v>
      </c>
      <c r="N40">
        <v>3521431.68</v>
      </c>
    </row>
    <row r="41" spans="1:14" x14ac:dyDescent="0.3">
      <c r="A41" t="s">
        <v>24</v>
      </c>
      <c r="B41" t="s">
        <v>48</v>
      </c>
      <c r="C41" t="s">
        <v>26</v>
      </c>
      <c r="D41" t="s">
        <v>22</v>
      </c>
      <c r="E41" t="s">
        <v>35</v>
      </c>
      <c r="F41" s="1">
        <v>40955</v>
      </c>
      <c r="G41">
        <v>189965903</v>
      </c>
      <c r="H41" s="1">
        <v>40967</v>
      </c>
      <c r="I41">
        <v>3987</v>
      </c>
      <c r="J41">
        <v>651.21</v>
      </c>
      <c r="K41">
        <v>524.96</v>
      </c>
      <c r="L41">
        <v>2596374.27</v>
      </c>
      <c r="M41">
        <v>503358.75</v>
      </c>
      <c r="N41">
        <v>2093015.52</v>
      </c>
    </row>
    <row r="42" spans="1:14" x14ac:dyDescent="0.3">
      <c r="A42" t="s">
        <v>28</v>
      </c>
      <c r="B42" t="s">
        <v>74</v>
      </c>
      <c r="C42" t="s">
        <v>39</v>
      </c>
      <c r="D42" t="s">
        <v>22</v>
      </c>
      <c r="E42" t="s">
        <v>18</v>
      </c>
      <c r="F42" s="1">
        <v>42805</v>
      </c>
      <c r="G42">
        <v>699285638</v>
      </c>
      <c r="H42" s="1">
        <v>42822</v>
      </c>
      <c r="I42">
        <v>3015</v>
      </c>
      <c r="J42">
        <v>81.73</v>
      </c>
      <c r="K42">
        <v>56.67</v>
      </c>
      <c r="L42">
        <v>246415.95</v>
      </c>
      <c r="M42">
        <v>75555.899999999994</v>
      </c>
      <c r="N42">
        <v>170860.05</v>
      </c>
    </row>
    <row r="43" spans="1:14" x14ac:dyDescent="0.3">
      <c r="A43" t="s">
        <v>71</v>
      </c>
      <c r="B43" t="s">
        <v>75</v>
      </c>
      <c r="C43" t="s">
        <v>50</v>
      </c>
      <c r="D43" t="s">
        <v>22</v>
      </c>
      <c r="E43" t="s">
        <v>35</v>
      </c>
      <c r="F43" s="1">
        <v>40215</v>
      </c>
      <c r="G43">
        <v>382392299</v>
      </c>
      <c r="H43" s="1">
        <v>40234</v>
      </c>
      <c r="I43">
        <v>7234</v>
      </c>
      <c r="J43">
        <v>437.2</v>
      </c>
      <c r="K43">
        <v>263.33</v>
      </c>
      <c r="L43">
        <v>3162704.8</v>
      </c>
      <c r="M43">
        <v>1257775.58</v>
      </c>
      <c r="N43">
        <v>1904929.22</v>
      </c>
    </row>
    <row r="44" spans="1:14" x14ac:dyDescent="0.3">
      <c r="A44" t="s">
        <v>28</v>
      </c>
      <c r="B44" t="s">
        <v>64</v>
      </c>
      <c r="C44" t="s">
        <v>21</v>
      </c>
      <c r="D44" t="s">
        <v>17</v>
      </c>
      <c r="E44" t="s">
        <v>18</v>
      </c>
      <c r="F44" s="1">
        <v>41067</v>
      </c>
      <c r="G44">
        <v>994022214</v>
      </c>
      <c r="H44" s="1">
        <v>41068</v>
      </c>
      <c r="I44">
        <v>2117</v>
      </c>
      <c r="J44">
        <v>205.7</v>
      </c>
      <c r="K44">
        <v>117.11</v>
      </c>
      <c r="L44">
        <v>435466.9</v>
      </c>
      <c r="M44">
        <v>187545.03</v>
      </c>
      <c r="N44">
        <v>247921.87</v>
      </c>
    </row>
    <row r="45" spans="1:14" x14ac:dyDescent="0.3">
      <c r="A45" t="s">
        <v>24</v>
      </c>
      <c r="B45" t="s">
        <v>76</v>
      </c>
      <c r="C45" t="s">
        <v>37</v>
      </c>
      <c r="D45" t="s">
        <v>22</v>
      </c>
      <c r="E45" t="s">
        <v>18</v>
      </c>
      <c r="F45" s="1">
        <v>41188</v>
      </c>
      <c r="G45">
        <v>759224212</v>
      </c>
      <c r="H45" s="1">
        <v>41223</v>
      </c>
      <c r="I45">
        <v>171</v>
      </c>
      <c r="J45">
        <v>154.06</v>
      </c>
      <c r="K45">
        <v>90.93</v>
      </c>
      <c r="L45">
        <v>26344.26</v>
      </c>
      <c r="M45">
        <v>10795.23</v>
      </c>
      <c r="N45">
        <v>15549.03</v>
      </c>
    </row>
    <row r="46" spans="1:14" x14ac:dyDescent="0.3">
      <c r="A46" t="s">
        <v>41</v>
      </c>
      <c r="B46" t="s">
        <v>68</v>
      </c>
      <c r="C46" t="s">
        <v>44</v>
      </c>
      <c r="D46" t="s">
        <v>22</v>
      </c>
      <c r="E46" t="s">
        <v>18</v>
      </c>
      <c r="F46" s="1">
        <v>42322</v>
      </c>
      <c r="G46">
        <v>223359620</v>
      </c>
      <c r="H46" s="1">
        <v>42326</v>
      </c>
      <c r="I46">
        <v>5930</v>
      </c>
      <c r="J46">
        <v>109.28</v>
      </c>
      <c r="K46">
        <v>35.840000000000003</v>
      </c>
      <c r="L46">
        <v>648030.4</v>
      </c>
      <c r="M46">
        <v>435499.2</v>
      </c>
      <c r="N46">
        <v>212531.20000000001</v>
      </c>
    </row>
    <row r="47" spans="1:14" x14ac:dyDescent="0.3">
      <c r="A47" t="s">
        <v>28</v>
      </c>
      <c r="B47" t="s">
        <v>77</v>
      </c>
      <c r="C47" t="s">
        <v>21</v>
      </c>
      <c r="D47" t="s">
        <v>17</v>
      </c>
      <c r="E47" t="s">
        <v>18</v>
      </c>
      <c r="F47" s="1">
        <v>42458</v>
      </c>
      <c r="G47">
        <v>902102267</v>
      </c>
      <c r="H47" s="1">
        <v>42489</v>
      </c>
      <c r="I47">
        <v>962</v>
      </c>
      <c r="J47">
        <v>205.7</v>
      </c>
      <c r="K47">
        <v>117.11</v>
      </c>
      <c r="L47">
        <v>197883.4</v>
      </c>
      <c r="M47">
        <v>85223.58</v>
      </c>
      <c r="N47">
        <v>112659.82</v>
      </c>
    </row>
    <row r="48" spans="1:14" x14ac:dyDescent="0.3">
      <c r="A48" t="s">
        <v>24</v>
      </c>
      <c r="B48" t="s">
        <v>78</v>
      </c>
      <c r="C48" t="s">
        <v>50</v>
      </c>
      <c r="D48" t="s">
        <v>22</v>
      </c>
      <c r="E48" t="s">
        <v>23</v>
      </c>
      <c r="F48" s="1">
        <v>42735</v>
      </c>
      <c r="G48">
        <v>331438481</v>
      </c>
      <c r="H48" s="1">
        <v>42735</v>
      </c>
      <c r="I48">
        <v>8867</v>
      </c>
      <c r="J48">
        <v>437.2</v>
      </c>
      <c r="K48">
        <v>263.33</v>
      </c>
      <c r="L48">
        <v>3876652.4</v>
      </c>
      <c r="M48">
        <v>1541705.29</v>
      </c>
      <c r="N48">
        <v>2334947.11</v>
      </c>
    </row>
    <row r="49" spans="1:14" x14ac:dyDescent="0.3">
      <c r="A49" t="s">
        <v>24</v>
      </c>
      <c r="B49" t="s">
        <v>65</v>
      </c>
      <c r="C49" t="s">
        <v>39</v>
      </c>
      <c r="D49" t="s">
        <v>22</v>
      </c>
      <c r="E49" t="s">
        <v>35</v>
      </c>
      <c r="F49" s="1">
        <v>40535</v>
      </c>
      <c r="G49">
        <v>617667090</v>
      </c>
      <c r="H49" s="1">
        <v>40574</v>
      </c>
      <c r="I49">
        <v>273</v>
      </c>
      <c r="J49">
        <v>81.73</v>
      </c>
      <c r="K49">
        <v>56.67</v>
      </c>
      <c r="L49">
        <v>22312.29</v>
      </c>
      <c r="M49">
        <v>6841.38</v>
      </c>
      <c r="N49">
        <v>15470.91</v>
      </c>
    </row>
    <row r="50" spans="1:14" x14ac:dyDescent="0.3">
      <c r="A50" t="s">
        <v>24</v>
      </c>
      <c r="B50" t="s">
        <v>79</v>
      </c>
      <c r="C50" t="s">
        <v>44</v>
      </c>
      <c r="D50" t="s">
        <v>17</v>
      </c>
      <c r="E50" t="s">
        <v>23</v>
      </c>
      <c r="F50" s="1">
        <v>41926</v>
      </c>
      <c r="G50">
        <v>787399423</v>
      </c>
      <c r="H50" s="1">
        <v>41957</v>
      </c>
      <c r="I50">
        <v>7842</v>
      </c>
      <c r="J50">
        <v>109.28</v>
      </c>
      <c r="K50">
        <v>35.840000000000003</v>
      </c>
      <c r="L50">
        <v>856973.76</v>
      </c>
      <c r="M50">
        <v>575916.48</v>
      </c>
      <c r="N50">
        <v>281057.28000000003</v>
      </c>
    </row>
    <row r="51" spans="1:14" x14ac:dyDescent="0.3">
      <c r="A51" t="s">
        <v>28</v>
      </c>
      <c r="B51" t="s">
        <v>80</v>
      </c>
      <c r="C51" t="s">
        <v>26</v>
      </c>
      <c r="D51" t="s">
        <v>17</v>
      </c>
      <c r="E51" t="s">
        <v>23</v>
      </c>
      <c r="F51" s="1">
        <v>40919</v>
      </c>
      <c r="G51">
        <v>837559306</v>
      </c>
      <c r="H51" s="1">
        <v>40921</v>
      </c>
      <c r="I51">
        <v>1266</v>
      </c>
      <c r="J51">
        <v>651.21</v>
      </c>
      <c r="K51">
        <v>524.96</v>
      </c>
      <c r="L51">
        <v>824431.86</v>
      </c>
      <c r="M51">
        <v>159832.5</v>
      </c>
      <c r="N51">
        <v>664599.36</v>
      </c>
    </row>
    <row r="52" spans="1:14" x14ac:dyDescent="0.3">
      <c r="A52" t="s">
        <v>24</v>
      </c>
      <c r="B52" t="s">
        <v>81</v>
      </c>
      <c r="C52" t="s">
        <v>44</v>
      </c>
      <c r="D52" t="s">
        <v>22</v>
      </c>
      <c r="E52" t="s">
        <v>23</v>
      </c>
      <c r="F52" s="1">
        <v>40211</v>
      </c>
      <c r="G52">
        <v>385383069</v>
      </c>
      <c r="H52" s="1">
        <v>40255</v>
      </c>
      <c r="I52">
        <v>2269</v>
      </c>
      <c r="J52">
        <v>109.28</v>
      </c>
      <c r="K52">
        <v>35.840000000000003</v>
      </c>
      <c r="L52">
        <v>247956.32</v>
      </c>
      <c r="M52">
        <v>166635.35999999999</v>
      </c>
      <c r="N52">
        <v>81320.960000000006</v>
      </c>
    </row>
    <row r="53" spans="1:14" x14ac:dyDescent="0.3">
      <c r="A53" t="s">
        <v>28</v>
      </c>
      <c r="B53" t="s">
        <v>82</v>
      </c>
      <c r="C53" t="s">
        <v>30</v>
      </c>
      <c r="D53" t="s">
        <v>22</v>
      </c>
      <c r="E53" t="s">
        <v>27</v>
      </c>
      <c r="F53" s="1">
        <v>41504</v>
      </c>
      <c r="G53">
        <v>918419539</v>
      </c>
      <c r="H53" s="1">
        <v>41535</v>
      </c>
      <c r="I53">
        <v>9606</v>
      </c>
      <c r="J53">
        <v>9.33</v>
      </c>
      <c r="K53">
        <v>6.92</v>
      </c>
      <c r="L53">
        <v>89623.98</v>
      </c>
      <c r="M53">
        <v>23150.46</v>
      </c>
      <c r="N53">
        <v>66473.52</v>
      </c>
    </row>
    <row r="54" spans="1:14" x14ac:dyDescent="0.3">
      <c r="A54" t="s">
        <v>71</v>
      </c>
      <c r="B54" t="s">
        <v>83</v>
      </c>
      <c r="C54" t="s">
        <v>21</v>
      </c>
      <c r="D54" t="s">
        <v>22</v>
      </c>
      <c r="E54" t="s">
        <v>35</v>
      </c>
      <c r="F54" s="1">
        <v>41358</v>
      </c>
      <c r="G54">
        <v>844530045</v>
      </c>
      <c r="H54" s="1">
        <v>41361</v>
      </c>
      <c r="I54">
        <v>4063</v>
      </c>
      <c r="J54">
        <v>205.7</v>
      </c>
      <c r="K54">
        <v>117.11</v>
      </c>
      <c r="L54">
        <v>835759.1</v>
      </c>
      <c r="M54">
        <v>359941.17</v>
      </c>
      <c r="N54">
        <v>475817.93</v>
      </c>
    </row>
    <row r="55" spans="1:14" x14ac:dyDescent="0.3">
      <c r="A55" t="s">
        <v>28</v>
      </c>
      <c r="B55" t="s">
        <v>84</v>
      </c>
      <c r="C55" t="s">
        <v>26</v>
      </c>
      <c r="D55" t="s">
        <v>17</v>
      </c>
      <c r="E55" t="s">
        <v>35</v>
      </c>
      <c r="F55" s="1">
        <v>40873</v>
      </c>
      <c r="G55">
        <v>441888415</v>
      </c>
      <c r="H55" s="1">
        <v>40915</v>
      </c>
      <c r="I55">
        <v>3457</v>
      </c>
      <c r="J55">
        <v>651.21</v>
      </c>
      <c r="K55">
        <v>524.96</v>
      </c>
      <c r="L55">
        <v>2251232.9700000002</v>
      </c>
      <c r="M55">
        <v>436446.25</v>
      </c>
      <c r="N55">
        <v>1814786.72</v>
      </c>
    </row>
    <row r="56" spans="1:14" x14ac:dyDescent="0.3">
      <c r="A56" t="s">
        <v>28</v>
      </c>
      <c r="B56" t="s">
        <v>29</v>
      </c>
      <c r="C56" t="s">
        <v>30</v>
      </c>
      <c r="D56" t="s">
        <v>17</v>
      </c>
      <c r="E56" t="s">
        <v>18</v>
      </c>
      <c r="F56" s="1">
        <v>41534</v>
      </c>
      <c r="G56">
        <v>508980977</v>
      </c>
      <c r="H56" s="1">
        <v>41571</v>
      </c>
      <c r="I56">
        <v>7637</v>
      </c>
      <c r="J56">
        <v>9.33</v>
      </c>
      <c r="K56">
        <v>6.92</v>
      </c>
      <c r="L56">
        <v>71253.210000000006</v>
      </c>
      <c r="M56">
        <v>18405.169999999998</v>
      </c>
      <c r="N56">
        <v>52848.04</v>
      </c>
    </row>
    <row r="57" spans="1:14" x14ac:dyDescent="0.3">
      <c r="A57" t="s">
        <v>28</v>
      </c>
      <c r="B57" t="s">
        <v>85</v>
      </c>
      <c r="C57" t="s">
        <v>44</v>
      </c>
      <c r="D57" t="s">
        <v>22</v>
      </c>
      <c r="E57" t="s">
        <v>23</v>
      </c>
      <c r="F57" s="1">
        <v>41068</v>
      </c>
      <c r="G57">
        <v>114606559</v>
      </c>
      <c r="H57" s="1">
        <v>41087</v>
      </c>
      <c r="I57">
        <v>3482</v>
      </c>
      <c r="J57">
        <v>109.28</v>
      </c>
      <c r="K57">
        <v>35.840000000000003</v>
      </c>
      <c r="L57">
        <v>380512.96</v>
      </c>
      <c r="M57">
        <v>255718.08</v>
      </c>
      <c r="N57">
        <v>124794.88</v>
      </c>
    </row>
    <row r="58" spans="1:14" x14ac:dyDescent="0.3">
      <c r="A58" t="s">
        <v>14</v>
      </c>
      <c r="B58" t="s">
        <v>86</v>
      </c>
      <c r="C58" t="s">
        <v>44</v>
      </c>
      <c r="D58" t="s">
        <v>17</v>
      </c>
      <c r="E58" t="s">
        <v>23</v>
      </c>
      <c r="F58" s="1">
        <v>40359</v>
      </c>
      <c r="G58">
        <v>647876489</v>
      </c>
      <c r="H58" s="1">
        <v>40391</v>
      </c>
      <c r="I58">
        <v>9905</v>
      </c>
      <c r="J58">
        <v>109.28</v>
      </c>
      <c r="K58">
        <v>35.840000000000003</v>
      </c>
      <c r="L58">
        <v>1082418.3999999999</v>
      </c>
      <c r="M58">
        <v>727423.2</v>
      </c>
      <c r="N58">
        <v>354995.20000000001</v>
      </c>
    </row>
    <row r="59" spans="1:14" x14ac:dyDescent="0.3">
      <c r="A59" t="s">
        <v>24</v>
      </c>
      <c r="B59" t="s">
        <v>87</v>
      </c>
      <c r="C59" t="s">
        <v>50</v>
      </c>
      <c r="D59" t="s">
        <v>17</v>
      </c>
      <c r="E59" t="s">
        <v>18</v>
      </c>
      <c r="F59" s="1">
        <v>42058</v>
      </c>
      <c r="G59">
        <v>868214595</v>
      </c>
      <c r="H59" s="1">
        <v>42065</v>
      </c>
      <c r="I59">
        <v>2847</v>
      </c>
      <c r="J59">
        <v>437.2</v>
      </c>
      <c r="K59">
        <v>263.33</v>
      </c>
      <c r="L59">
        <v>1244708.3999999999</v>
      </c>
      <c r="M59">
        <v>495007.89</v>
      </c>
      <c r="N59">
        <v>749700.51</v>
      </c>
    </row>
    <row r="60" spans="1:14" x14ac:dyDescent="0.3">
      <c r="A60" t="s">
        <v>24</v>
      </c>
      <c r="B60" t="s">
        <v>88</v>
      </c>
      <c r="C60" t="s">
        <v>34</v>
      </c>
      <c r="D60" t="s">
        <v>22</v>
      </c>
      <c r="E60" t="s">
        <v>27</v>
      </c>
      <c r="F60" s="1">
        <v>40913</v>
      </c>
      <c r="G60">
        <v>955357205</v>
      </c>
      <c r="H60" s="1">
        <v>40953</v>
      </c>
      <c r="I60">
        <v>282</v>
      </c>
      <c r="J60">
        <v>668.27</v>
      </c>
      <c r="K60">
        <v>502.54</v>
      </c>
      <c r="L60">
        <v>188452.14</v>
      </c>
      <c r="M60">
        <v>46735.86</v>
      </c>
      <c r="N60">
        <v>141716.28</v>
      </c>
    </row>
    <row r="61" spans="1:14" x14ac:dyDescent="0.3">
      <c r="A61" t="s">
        <v>28</v>
      </c>
      <c r="B61" t="s">
        <v>69</v>
      </c>
      <c r="C61" t="s">
        <v>50</v>
      </c>
      <c r="D61" t="s">
        <v>17</v>
      </c>
      <c r="E61" t="s">
        <v>18</v>
      </c>
      <c r="F61" s="1">
        <v>41736</v>
      </c>
      <c r="G61">
        <v>259353148</v>
      </c>
      <c r="H61" s="1">
        <v>41748</v>
      </c>
      <c r="I61">
        <v>7215</v>
      </c>
      <c r="J61">
        <v>437.2</v>
      </c>
      <c r="K61">
        <v>263.33</v>
      </c>
      <c r="L61">
        <v>3154398</v>
      </c>
      <c r="M61">
        <v>1254472.05</v>
      </c>
      <c r="N61">
        <v>1899925.95</v>
      </c>
    </row>
    <row r="62" spans="1:14" x14ac:dyDescent="0.3">
      <c r="A62" t="s">
        <v>14</v>
      </c>
      <c r="B62" t="s">
        <v>67</v>
      </c>
      <c r="C62" t="s">
        <v>21</v>
      </c>
      <c r="D62" t="s">
        <v>17</v>
      </c>
      <c r="E62" t="s">
        <v>18</v>
      </c>
      <c r="F62" s="1">
        <v>41434</v>
      </c>
      <c r="G62">
        <v>450563752</v>
      </c>
      <c r="H62" s="1">
        <v>41457</v>
      </c>
      <c r="I62">
        <v>682</v>
      </c>
      <c r="J62">
        <v>205.7</v>
      </c>
      <c r="K62">
        <v>117.11</v>
      </c>
      <c r="L62">
        <v>140287.4</v>
      </c>
      <c r="M62">
        <v>60418.38</v>
      </c>
      <c r="N62">
        <v>79869.02</v>
      </c>
    </row>
    <row r="63" spans="1:14" x14ac:dyDescent="0.3">
      <c r="A63" t="s">
        <v>24</v>
      </c>
      <c r="B63" t="s">
        <v>89</v>
      </c>
      <c r="C63" t="s">
        <v>16</v>
      </c>
      <c r="D63" t="s">
        <v>22</v>
      </c>
      <c r="E63" t="s">
        <v>27</v>
      </c>
      <c r="F63" s="1">
        <v>41451</v>
      </c>
      <c r="G63">
        <v>569662845</v>
      </c>
      <c r="H63" s="1">
        <v>41456</v>
      </c>
      <c r="I63">
        <v>4750</v>
      </c>
      <c r="J63">
        <v>255.28</v>
      </c>
      <c r="K63">
        <v>159.41999999999999</v>
      </c>
      <c r="L63">
        <v>1212580</v>
      </c>
      <c r="M63">
        <v>455335</v>
      </c>
      <c r="N63">
        <v>757245</v>
      </c>
    </row>
    <row r="64" spans="1:14" x14ac:dyDescent="0.3">
      <c r="A64" t="s">
        <v>28</v>
      </c>
      <c r="B64" t="s">
        <v>51</v>
      </c>
      <c r="C64" t="s">
        <v>26</v>
      </c>
      <c r="D64" t="s">
        <v>22</v>
      </c>
      <c r="E64" t="s">
        <v>35</v>
      </c>
      <c r="F64" s="1">
        <v>40854</v>
      </c>
      <c r="G64">
        <v>177636754</v>
      </c>
      <c r="H64" s="1">
        <v>40862</v>
      </c>
      <c r="I64">
        <v>5518</v>
      </c>
      <c r="J64">
        <v>651.21</v>
      </c>
      <c r="K64">
        <v>524.96</v>
      </c>
      <c r="L64">
        <v>3593376.78</v>
      </c>
      <c r="M64">
        <v>696647.5</v>
      </c>
      <c r="N64">
        <v>2896729.28</v>
      </c>
    </row>
    <row r="65" spans="1:14" x14ac:dyDescent="0.3">
      <c r="A65" t="s">
        <v>71</v>
      </c>
      <c r="B65" t="s">
        <v>90</v>
      </c>
      <c r="C65" t="s">
        <v>44</v>
      </c>
      <c r="D65" t="s">
        <v>17</v>
      </c>
      <c r="E65" t="s">
        <v>18</v>
      </c>
      <c r="F65" s="1">
        <v>40481</v>
      </c>
      <c r="G65">
        <v>705784308</v>
      </c>
      <c r="H65" s="1">
        <v>40499</v>
      </c>
      <c r="I65">
        <v>6116</v>
      </c>
      <c r="J65">
        <v>109.28</v>
      </c>
      <c r="K65">
        <v>35.840000000000003</v>
      </c>
      <c r="L65">
        <v>668356.48</v>
      </c>
      <c r="M65">
        <v>449159.04</v>
      </c>
      <c r="N65">
        <v>219197.44</v>
      </c>
    </row>
    <row r="66" spans="1:14" x14ac:dyDescent="0.3">
      <c r="A66" t="s">
        <v>19</v>
      </c>
      <c r="B66" t="s">
        <v>91</v>
      </c>
      <c r="C66" t="s">
        <v>50</v>
      </c>
      <c r="D66" t="s">
        <v>17</v>
      </c>
      <c r="E66" t="s">
        <v>18</v>
      </c>
      <c r="F66" s="1">
        <v>41560</v>
      </c>
      <c r="G66">
        <v>505716836</v>
      </c>
      <c r="H66" s="1">
        <v>41594</v>
      </c>
      <c r="I66">
        <v>1705</v>
      </c>
      <c r="J66">
        <v>437.2</v>
      </c>
      <c r="K66">
        <v>263.33</v>
      </c>
      <c r="L66">
        <v>745426</v>
      </c>
      <c r="M66">
        <v>296448.34999999998</v>
      </c>
      <c r="N66">
        <v>448977.65</v>
      </c>
    </row>
    <row r="67" spans="1:14" x14ac:dyDescent="0.3">
      <c r="A67" t="s">
        <v>28</v>
      </c>
      <c r="B67" t="s">
        <v>31</v>
      </c>
      <c r="C67" t="s">
        <v>50</v>
      </c>
      <c r="D67" t="s">
        <v>17</v>
      </c>
      <c r="E67" t="s">
        <v>18</v>
      </c>
      <c r="F67" s="1">
        <v>41558</v>
      </c>
      <c r="G67">
        <v>699358165</v>
      </c>
      <c r="H67" s="1">
        <v>41603</v>
      </c>
      <c r="I67">
        <v>4477</v>
      </c>
      <c r="J67">
        <v>437.2</v>
      </c>
      <c r="K67">
        <v>263.33</v>
      </c>
      <c r="L67">
        <v>1957344.4</v>
      </c>
      <c r="M67">
        <v>778415.99</v>
      </c>
      <c r="N67">
        <v>1178928.4099999999</v>
      </c>
    </row>
    <row r="68" spans="1:14" x14ac:dyDescent="0.3">
      <c r="A68" t="s">
        <v>28</v>
      </c>
      <c r="B68" t="s">
        <v>92</v>
      </c>
      <c r="C68" t="s">
        <v>39</v>
      </c>
      <c r="D68" t="s">
        <v>17</v>
      </c>
      <c r="E68" t="s">
        <v>27</v>
      </c>
      <c r="F68" s="1">
        <v>41098</v>
      </c>
      <c r="G68">
        <v>228944623</v>
      </c>
      <c r="H68" s="1">
        <v>41099</v>
      </c>
      <c r="I68">
        <v>8656</v>
      </c>
      <c r="J68">
        <v>81.73</v>
      </c>
      <c r="K68">
        <v>56.67</v>
      </c>
      <c r="L68">
        <v>707454.88</v>
      </c>
      <c r="M68">
        <v>216919.36</v>
      </c>
      <c r="N68">
        <v>490535.52</v>
      </c>
    </row>
    <row r="69" spans="1:14" x14ac:dyDescent="0.3">
      <c r="A69" t="s">
        <v>19</v>
      </c>
      <c r="B69" t="s">
        <v>93</v>
      </c>
      <c r="C69" t="s">
        <v>44</v>
      </c>
      <c r="D69" t="s">
        <v>17</v>
      </c>
      <c r="E69" t="s">
        <v>35</v>
      </c>
      <c r="F69" s="1">
        <v>42576</v>
      </c>
      <c r="G69">
        <v>807025039</v>
      </c>
      <c r="H69" s="1">
        <v>42620</v>
      </c>
      <c r="I69">
        <v>5498</v>
      </c>
      <c r="J69">
        <v>109.28</v>
      </c>
      <c r="K69">
        <v>35.840000000000003</v>
      </c>
      <c r="L69">
        <v>600821.43999999994</v>
      </c>
      <c r="M69">
        <v>403773.12</v>
      </c>
      <c r="N69">
        <v>197048.32000000001</v>
      </c>
    </row>
    <row r="70" spans="1:14" x14ac:dyDescent="0.3">
      <c r="A70" t="s">
        <v>24</v>
      </c>
      <c r="B70" t="s">
        <v>94</v>
      </c>
      <c r="C70" t="s">
        <v>26</v>
      </c>
      <c r="D70" t="s">
        <v>17</v>
      </c>
      <c r="E70" t="s">
        <v>18</v>
      </c>
      <c r="F70" s="1">
        <v>40475</v>
      </c>
      <c r="G70">
        <v>166460740</v>
      </c>
      <c r="H70" s="1">
        <v>40499</v>
      </c>
      <c r="I70">
        <v>8287</v>
      </c>
      <c r="J70">
        <v>651.21</v>
      </c>
      <c r="K70">
        <v>524.96</v>
      </c>
      <c r="L70">
        <v>5396577.2699999996</v>
      </c>
      <c r="M70">
        <v>1046233.75</v>
      </c>
      <c r="N70">
        <v>4350343.5199999996</v>
      </c>
    </row>
    <row r="71" spans="1:14" x14ac:dyDescent="0.3">
      <c r="A71" t="s">
        <v>28</v>
      </c>
      <c r="B71" t="s">
        <v>95</v>
      </c>
      <c r="C71" t="s">
        <v>44</v>
      </c>
      <c r="D71" t="s">
        <v>17</v>
      </c>
      <c r="E71" t="s">
        <v>27</v>
      </c>
      <c r="F71" s="1">
        <v>42119</v>
      </c>
      <c r="G71">
        <v>610425555</v>
      </c>
      <c r="H71" s="1">
        <v>42152</v>
      </c>
      <c r="I71">
        <v>7342</v>
      </c>
      <c r="J71">
        <v>109.28</v>
      </c>
      <c r="K71">
        <v>35.840000000000003</v>
      </c>
      <c r="L71">
        <v>802333.76</v>
      </c>
      <c r="M71">
        <v>539196.48</v>
      </c>
      <c r="N71">
        <v>263137.28000000003</v>
      </c>
    </row>
    <row r="72" spans="1:14" x14ac:dyDescent="0.3">
      <c r="A72" t="s">
        <v>41</v>
      </c>
      <c r="B72" t="s">
        <v>53</v>
      </c>
      <c r="C72" t="s">
        <v>26</v>
      </c>
      <c r="D72" t="s">
        <v>22</v>
      </c>
      <c r="E72" t="s">
        <v>35</v>
      </c>
      <c r="F72" s="1">
        <v>41387</v>
      </c>
      <c r="G72">
        <v>462405812</v>
      </c>
      <c r="H72" s="1">
        <v>41414</v>
      </c>
      <c r="I72">
        <v>5010</v>
      </c>
      <c r="J72">
        <v>651.21</v>
      </c>
      <c r="K72">
        <v>524.96</v>
      </c>
      <c r="L72">
        <v>3262562.1</v>
      </c>
      <c r="M72">
        <v>632512.5</v>
      </c>
      <c r="N72">
        <v>2630049.6</v>
      </c>
    </row>
    <row r="73" spans="1:14" x14ac:dyDescent="0.3">
      <c r="A73" t="s">
        <v>71</v>
      </c>
      <c r="B73" t="s">
        <v>90</v>
      </c>
      <c r="C73" t="s">
        <v>30</v>
      </c>
      <c r="D73" t="s">
        <v>22</v>
      </c>
      <c r="E73" t="s">
        <v>27</v>
      </c>
      <c r="F73" s="1">
        <v>42230</v>
      </c>
      <c r="G73">
        <v>816200339</v>
      </c>
      <c r="H73" s="1">
        <v>42277</v>
      </c>
      <c r="I73">
        <v>673</v>
      </c>
      <c r="J73">
        <v>9.33</v>
      </c>
      <c r="K73">
        <v>6.92</v>
      </c>
      <c r="L73">
        <v>6279.09</v>
      </c>
      <c r="M73">
        <v>1621.93</v>
      </c>
      <c r="N73">
        <v>4657.16</v>
      </c>
    </row>
    <row r="74" spans="1:14" x14ac:dyDescent="0.3">
      <c r="A74" t="s">
        <v>28</v>
      </c>
      <c r="B74" t="s">
        <v>96</v>
      </c>
      <c r="C74" t="s">
        <v>52</v>
      </c>
      <c r="D74" t="s">
        <v>22</v>
      </c>
      <c r="E74" t="s">
        <v>23</v>
      </c>
      <c r="F74" s="1">
        <v>40689</v>
      </c>
      <c r="G74">
        <v>585920464</v>
      </c>
      <c r="H74" s="1">
        <v>40739</v>
      </c>
      <c r="I74">
        <v>5741</v>
      </c>
      <c r="J74">
        <v>47.45</v>
      </c>
      <c r="K74">
        <v>31.79</v>
      </c>
      <c r="L74">
        <v>272410.45</v>
      </c>
      <c r="M74">
        <v>89904.06</v>
      </c>
      <c r="N74">
        <v>182506.39</v>
      </c>
    </row>
    <row r="75" spans="1:14" x14ac:dyDescent="0.3">
      <c r="A75" t="s">
        <v>28</v>
      </c>
      <c r="B75" t="s">
        <v>69</v>
      </c>
      <c r="C75" t="s">
        <v>21</v>
      </c>
      <c r="D75" t="s">
        <v>22</v>
      </c>
      <c r="E75" t="s">
        <v>18</v>
      </c>
      <c r="F75" s="1">
        <v>42875</v>
      </c>
      <c r="G75">
        <v>555990016</v>
      </c>
      <c r="H75" s="1">
        <v>42903</v>
      </c>
      <c r="I75">
        <v>8656</v>
      </c>
      <c r="J75">
        <v>205.7</v>
      </c>
      <c r="K75">
        <v>117.11</v>
      </c>
      <c r="L75">
        <v>1780539.2</v>
      </c>
      <c r="M75">
        <v>766835.04</v>
      </c>
      <c r="N75">
        <v>1013704.16</v>
      </c>
    </row>
    <row r="76" spans="1:14" x14ac:dyDescent="0.3">
      <c r="A76" t="s">
        <v>71</v>
      </c>
      <c r="B76" t="s">
        <v>97</v>
      </c>
      <c r="C76" t="s">
        <v>50</v>
      </c>
      <c r="D76" t="s">
        <v>17</v>
      </c>
      <c r="E76" t="s">
        <v>27</v>
      </c>
      <c r="F76" s="1">
        <v>41460</v>
      </c>
      <c r="G76">
        <v>231145322</v>
      </c>
      <c r="H76" s="1">
        <v>41502</v>
      </c>
      <c r="I76">
        <v>9892</v>
      </c>
      <c r="J76">
        <v>437.2</v>
      </c>
      <c r="K76">
        <v>263.33</v>
      </c>
      <c r="L76">
        <v>4324782.4000000004</v>
      </c>
      <c r="M76">
        <v>1719922.04</v>
      </c>
      <c r="N76">
        <v>2604860.36</v>
      </c>
    </row>
    <row r="77" spans="1:14" x14ac:dyDescent="0.3">
      <c r="A77" t="s">
        <v>98</v>
      </c>
      <c r="B77" t="s">
        <v>99</v>
      </c>
      <c r="C77" t="s">
        <v>34</v>
      </c>
      <c r="D77" t="s">
        <v>17</v>
      </c>
      <c r="E77" t="s">
        <v>23</v>
      </c>
      <c r="F77" s="1">
        <v>41949</v>
      </c>
      <c r="G77">
        <v>986435210</v>
      </c>
      <c r="H77" s="1">
        <v>41985</v>
      </c>
      <c r="I77">
        <v>6954</v>
      </c>
      <c r="J77">
        <v>668.27</v>
      </c>
      <c r="K77">
        <v>502.54</v>
      </c>
      <c r="L77">
        <v>4647149.58</v>
      </c>
      <c r="M77">
        <v>1152486.42</v>
      </c>
      <c r="N77">
        <v>3494663.16</v>
      </c>
    </row>
    <row r="78" spans="1:14" x14ac:dyDescent="0.3">
      <c r="A78" t="s">
        <v>14</v>
      </c>
      <c r="B78" t="s">
        <v>100</v>
      </c>
      <c r="C78" t="s">
        <v>52</v>
      </c>
      <c r="D78" t="s">
        <v>22</v>
      </c>
      <c r="E78" t="s">
        <v>23</v>
      </c>
      <c r="F78" s="1">
        <v>41940</v>
      </c>
      <c r="G78">
        <v>217221009</v>
      </c>
      <c r="H78" s="1">
        <v>41958</v>
      </c>
      <c r="I78">
        <v>9379</v>
      </c>
      <c r="J78">
        <v>47.45</v>
      </c>
      <c r="K78">
        <v>31.79</v>
      </c>
      <c r="L78">
        <v>445033.55</v>
      </c>
      <c r="M78">
        <v>146875.14000000001</v>
      </c>
      <c r="N78">
        <v>298158.40999999997</v>
      </c>
    </row>
    <row r="79" spans="1:14" x14ac:dyDescent="0.3">
      <c r="A79" t="s">
        <v>41</v>
      </c>
      <c r="B79" t="s">
        <v>101</v>
      </c>
      <c r="C79" t="s">
        <v>37</v>
      </c>
      <c r="D79" t="s">
        <v>17</v>
      </c>
      <c r="E79" t="s">
        <v>23</v>
      </c>
      <c r="F79" s="1">
        <v>40801</v>
      </c>
      <c r="G79">
        <v>789176547</v>
      </c>
      <c r="H79" s="1">
        <v>40839</v>
      </c>
      <c r="I79">
        <v>3732</v>
      </c>
      <c r="J79">
        <v>154.06</v>
      </c>
      <c r="K79">
        <v>90.93</v>
      </c>
      <c r="L79">
        <v>574951.92000000004</v>
      </c>
      <c r="M79">
        <v>235601.16</v>
      </c>
      <c r="N79">
        <v>339350.76</v>
      </c>
    </row>
    <row r="80" spans="1:14" x14ac:dyDescent="0.3">
      <c r="A80" t="s">
        <v>24</v>
      </c>
      <c r="B80" t="s">
        <v>102</v>
      </c>
      <c r="C80" t="s">
        <v>16</v>
      </c>
      <c r="D80" t="s">
        <v>17</v>
      </c>
      <c r="E80" t="s">
        <v>18</v>
      </c>
      <c r="F80" s="1">
        <v>41058</v>
      </c>
      <c r="G80">
        <v>688288152</v>
      </c>
      <c r="H80" s="1">
        <v>41062</v>
      </c>
      <c r="I80">
        <v>8614</v>
      </c>
      <c r="J80">
        <v>255.28</v>
      </c>
      <c r="K80">
        <v>159.41999999999999</v>
      </c>
      <c r="L80">
        <v>2198981.92</v>
      </c>
      <c r="M80">
        <v>825738.04</v>
      </c>
      <c r="N80">
        <v>1373243.88</v>
      </c>
    </row>
    <row r="81" spans="1:14" x14ac:dyDescent="0.3">
      <c r="A81" t="s">
        <v>14</v>
      </c>
      <c r="B81" t="s">
        <v>103</v>
      </c>
      <c r="C81" t="s">
        <v>50</v>
      </c>
      <c r="D81" t="s">
        <v>22</v>
      </c>
      <c r="E81" t="s">
        <v>18</v>
      </c>
      <c r="F81" s="1">
        <v>41475</v>
      </c>
      <c r="G81">
        <v>670854651</v>
      </c>
      <c r="H81" s="1">
        <v>41493</v>
      </c>
      <c r="I81">
        <v>9654</v>
      </c>
      <c r="J81">
        <v>437.2</v>
      </c>
      <c r="K81">
        <v>263.33</v>
      </c>
      <c r="L81">
        <v>4220728.8</v>
      </c>
      <c r="M81">
        <v>1678540.98</v>
      </c>
      <c r="N81">
        <v>2542187.8199999998</v>
      </c>
    </row>
    <row r="82" spans="1:14" x14ac:dyDescent="0.3">
      <c r="A82" t="s">
        <v>24</v>
      </c>
      <c r="B82" t="s">
        <v>104</v>
      </c>
      <c r="C82" t="s">
        <v>34</v>
      </c>
      <c r="D82" t="s">
        <v>17</v>
      </c>
      <c r="E82" t="s">
        <v>27</v>
      </c>
      <c r="F82" s="1">
        <v>41203</v>
      </c>
      <c r="G82">
        <v>213487374</v>
      </c>
      <c r="H82" s="1">
        <v>41243</v>
      </c>
      <c r="I82">
        <v>4513</v>
      </c>
      <c r="J82">
        <v>668.27</v>
      </c>
      <c r="K82">
        <v>502.54</v>
      </c>
      <c r="L82">
        <v>3015902.51</v>
      </c>
      <c r="M82">
        <v>747939.49</v>
      </c>
      <c r="N82">
        <v>2267963.02</v>
      </c>
    </row>
    <row r="83" spans="1:14" x14ac:dyDescent="0.3">
      <c r="A83" t="s">
        <v>71</v>
      </c>
      <c r="B83" t="s">
        <v>105</v>
      </c>
      <c r="C83" t="s">
        <v>44</v>
      </c>
      <c r="D83" t="s">
        <v>22</v>
      </c>
      <c r="E83" t="s">
        <v>27</v>
      </c>
      <c r="F83" s="1">
        <v>41170</v>
      </c>
      <c r="G83">
        <v>663110148</v>
      </c>
      <c r="H83" s="1">
        <v>41190</v>
      </c>
      <c r="I83">
        <v>7884</v>
      </c>
      <c r="J83">
        <v>109.28</v>
      </c>
      <c r="K83">
        <v>35.840000000000003</v>
      </c>
      <c r="L83">
        <v>861563.52</v>
      </c>
      <c r="M83">
        <v>579000.96</v>
      </c>
      <c r="N83">
        <v>282562.56</v>
      </c>
    </row>
    <row r="84" spans="1:14" x14ac:dyDescent="0.3">
      <c r="A84" t="s">
        <v>71</v>
      </c>
      <c r="B84" t="s">
        <v>106</v>
      </c>
      <c r="C84" t="s">
        <v>50</v>
      </c>
      <c r="D84" t="s">
        <v>22</v>
      </c>
      <c r="E84" t="s">
        <v>18</v>
      </c>
      <c r="F84" s="1">
        <v>42689</v>
      </c>
      <c r="G84">
        <v>286959302</v>
      </c>
      <c r="H84" s="1">
        <v>42712</v>
      </c>
      <c r="I84">
        <v>6489</v>
      </c>
      <c r="J84">
        <v>437.2</v>
      </c>
      <c r="K84">
        <v>263.33</v>
      </c>
      <c r="L84">
        <v>2836990.8</v>
      </c>
      <c r="M84">
        <v>1128242.43</v>
      </c>
      <c r="N84">
        <v>1708748.37</v>
      </c>
    </row>
    <row r="85" spans="1:14" x14ac:dyDescent="0.3">
      <c r="A85" t="s">
        <v>28</v>
      </c>
      <c r="B85" t="s">
        <v>107</v>
      </c>
      <c r="C85" t="s">
        <v>58</v>
      </c>
      <c r="D85" t="s">
        <v>22</v>
      </c>
      <c r="E85" t="s">
        <v>27</v>
      </c>
      <c r="F85" s="1">
        <v>40547</v>
      </c>
      <c r="G85">
        <v>122583663</v>
      </c>
      <c r="H85" s="1">
        <v>40548</v>
      </c>
      <c r="I85">
        <v>4085</v>
      </c>
      <c r="J85">
        <v>152.58000000000001</v>
      </c>
      <c r="K85">
        <v>97.44</v>
      </c>
      <c r="L85">
        <v>623289.30000000005</v>
      </c>
      <c r="M85">
        <v>225246.9</v>
      </c>
      <c r="N85">
        <v>398042.4</v>
      </c>
    </row>
    <row r="86" spans="1:14" x14ac:dyDescent="0.3">
      <c r="A86" t="s">
        <v>28</v>
      </c>
      <c r="B86" t="s">
        <v>108</v>
      </c>
      <c r="C86" t="s">
        <v>37</v>
      </c>
      <c r="D86" t="s">
        <v>22</v>
      </c>
      <c r="E86" t="s">
        <v>27</v>
      </c>
      <c r="F86" s="1">
        <v>40986</v>
      </c>
      <c r="G86">
        <v>827844560</v>
      </c>
      <c r="H86" s="1">
        <v>41006</v>
      </c>
      <c r="I86">
        <v>6457</v>
      </c>
      <c r="J86">
        <v>154.06</v>
      </c>
      <c r="K86">
        <v>90.93</v>
      </c>
      <c r="L86">
        <v>994765.42</v>
      </c>
      <c r="M86">
        <v>407630.41</v>
      </c>
      <c r="N86">
        <v>587135.01</v>
      </c>
    </row>
    <row r="87" spans="1:14" x14ac:dyDescent="0.3">
      <c r="A87" t="s">
        <v>98</v>
      </c>
      <c r="B87" t="s">
        <v>99</v>
      </c>
      <c r="C87" t="s">
        <v>39</v>
      </c>
      <c r="D87" t="s">
        <v>17</v>
      </c>
      <c r="E87" t="s">
        <v>27</v>
      </c>
      <c r="F87" s="1">
        <v>40956</v>
      </c>
      <c r="G87">
        <v>430915820</v>
      </c>
      <c r="H87" s="1">
        <v>40988</v>
      </c>
      <c r="I87">
        <v>6422</v>
      </c>
      <c r="J87">
        <v>81.73</v>
      </c>
      <c r="K87">
        <v>56.67</v>
      </c>
      <c r="L87">
        <v>524870.06000000006</v>
      </c>
      <c r="M87">
        <v>160935.32</v>
      </c>
      <c r="N87">
        <v>363934.74</v>
      </c>
    </row>
    <row r="88" spans="1:14" x14ac:dyDescent="0.3">
      <c r="A88" t="s">
        <v>28</v>
      </c>
      <c r="B88" t="s">
        <v>29</v>
      </c>
      <c r="C88" t="s">
        <v>52</v>
      </c>
      <c r="D88" t="s">
        <v>17</v>
      </c>
      <c r="E88" t="s">
        <v>23</v>
      </c>
      <c r="F88" s="1">
        <v>40559</v>
      </c>
      <c r="G88">
        <v>180283772</v>
      </c>
      <c r="H88" s="1">
        <v>40564</v>
      </c>
      <c r="I88">
        <v>8829</v>
      </c>
      <c r="J88">
        <v>47.45</v>
      </c>
      <c r="K88">
        <v>31.79</v>
      </c>
      <c r="L88">
        <v>418936.05</v>
      </c>
      <c r="M88">
        <v>138262.14000000001</v>
      </c>
      <c r="N88">
        <v>280673.90999999997</v>
      </c>
    </row>
    <row r="89" spans="1:14" x14ac:dyDescent="0.3">
      <c r="A89" t="s">
        <v>28</v>
      </c>
      <c r="B89" t="s">
        <v>64</v>
      </c>
      <c r="C89" t="s">
        <v>16</v>
      </c>
      <c r="D89" t="s">
        <v>17</v>
      </c>
      <c r="E89" t="s">
        <v>35</v>
      </c>
      <c r="F89" s="1">
        <v>41673</v>
      </c>
      <c r="G89">
        <v>494747245</v>
      </c>
      <c r="H89" s="1">
        <v>41718</v>
      </c>
      <c r="I89">
        <v>5559</v>
      </c>
      <c r="J89">
        <v>255.28</v>
      </c>
      <c r="K89">
        <v>159.41999999999999</v>
      </c>
      <c r="L89">
        <v>1419101.52</v>
      </c>
      <c r="M89">
        <v>532885.74</v>
      </c>
      <c r="N89">
        <v>886215.78</v>
      </c>
    </row>
    <row r="90" spans="1:14" x14ac:dyDescent="0.3">
      <c r="A90" t="s">
        <v>71</v>
      </c>
      <c r="B90" t="s">
        <v>109</v>
      </c>
      <c r="C90" t="s">
        <v>30</v>
      </c>
      <c r="D90" t="s">
        <v>22</v>
      </c>
      <c r="E90" t="s">
        <v>35</v>
      </c>
      <c r="F90" s="1">
        <v>41029</v>
      </c>
      <c r="G90">
        <v>513417565</v>
      </c>
      <c r="H90" s="1">
        <v>41047</v>
      </c>
      <c r="I90">
        <v>522</v>
      </c>
      <c r="J90">
        <v>9.33</v>
      </c>
      <c r="K90">
        <v>6.92</v>
      </c>
      <c r="L90">
        <v>4870.26</v>
      </c>
      <c r="M90">
        <v>1258.02</v>
      </c>
      <c r="N90">
        <v>3612.24</v>
      </c>
    </row>
    <row r="91" spans="1:14" x14ac:dyDescent="0.3">
      <c r="A91" t="s">
        <v>24</v>
      </c>
      <c r="B91" t="s">
        <v>110</v>
      </c>
      <c r="C91" t="s">
        <v>52</v>
      </c>
      <c r="D91" t="s">
        <v>17</v>
      </c>
      <c r="E91" t="s">
        <v>23</v>
      </c>
      <c r="F91" s="1">
        <v>42666</v>
      </c>
      <c r="G91">
        <v>345718562</v>
      </c>
      <c r="H91" s="1">
        <v>42699</v>
      </c>
      <c r="I91">
        <v>4660</v>
      </c>
      <c r="J91">
        <v>47.45</v>
      </c>
      <c r="K91">
        <v>31.79</v>
      </c>
      <c r="L91">
        <v>221117</v>
      </c>
      <c r="M91">
        <v>72975.600000000006</v>
      </c>
      <c r="N91">
        <v>148141.4</v>
      </c>
    </row>
    <row r="92" spans="1:14" x14ac:dyDescent="0.3">
      <c r="A92" t="s">
        <v>28</v>
      </c>
      <c r="B92" t="s">
        <v>84</v>
      </c>
      <c r="C92" t="s">
        <v>26</v>
      </c>
      <c r="D92" t="s">
        <v>17</v>
      </c>
      <c r="E92" t="s">
        <v>18</v>
      </c>
      <c r="F92" s="1">
        <v>42710</v>
      </c>
      <c r="G92">
        <v>621386563</v>
      </c>
      <c r="H92" s="1">
        <v>42718</v>
      </c>
      <c r="I92">
        <v>948</v>
      </c>
      <c r="J92">
        <v>651.21</v>
      </c>
      <c r="K92">
        <v>524.96</v>
      </c>
      <c r="L92">
        <v>617347.07999999996</v>
      </c>
      <c r="M92">
        <v>119685</v>
      </c>
      <c r="N92">
        <v>497662.08</v>
      </c>
    </row>
    <row r="93" spans="1:14" x14ac:dyDescent="0.3">
      <c r="A93" t="s">
        <v>14</v>
      </c>
      <c r="B93" t="s">
        <v>67</v>
      </c>
      <c r="C93" t="s">
        <v>52</v>
      </c>
      <c r="D93" t="s">
        <v>17</v>
      </c>
      <c r="E93" t="s">
        <v>18</v>
      </c>
      <c r="F93" s="1">
        <v>41827</v>
      </c>
      <c r="G93">
        <v>240470397</v>
      </c>
      <c r="H93" s="1">
        <v>41831</v>
      </c>
      <c r="I93">
        <v>9389</v>
      </c>
      <c r="J93">
        <v>47.45</v>
      </c>
      <c r="K93">
        <v>31.79</v>
      </c>
      <c r="L93">
        <v>445508.05</v>
      </c>
      <c r="M93">
        <v>147031.74</v>
      </c>
      <c r="N93">
        <v>298476.31</v>
      </c>
    </row>
    <row r="94" spans="1:14" x14ac:dyDescent="0.3">
      <c r="A94" t="s">
        <v>71</v>
      </c>
      <c r="B94" t="s">
        <v>75</v>
      </c>
      <c r="C94" t="s">
        <v>26</v>
      </c>
      <c r="D94" t="s">
        <v>22</v>
      </c>
      <c r="E94" t="s">
        <v>35</v>
      </c>
      <c r="F94" s="1">
        <v>41073</v>
      </c>
      <c r="G94">
        <v>423331391</v>
      </c>
      <c r="H94" s="1">
        <v>41114</v>
      </c>
      <c r="I94">
        <v>2021</v>
      </c>
      <c r="J94">
        <v>651.21</v>
      </c>
      <c r="K94">
        <v>524.96</v>
      </c>
      <c r="L94">
        <v>1316095.4099999999</v>
      </c>
      <c r="M94">
        <v>255151.25</v>
      </c>
      <c r="N94">
        <v>1060944.1599999999</v>
      </c>
    </row>
    <row r="95" spans="1:14" x14ac:dyDescent="0.3">
      <c r="A95" t="s">
        <v>24</v>
      </c>
      <c r="B95" t="s">
        <v>111</v>
      </c>
      <c r="C95" t="s">
        <v>50</v>
      </c>
      <c r="D95" t="s">
        <v>22</v>
      </c>
      <c r="E95" t="s">
        <v>18</v>
      </c>
      <c r="F95" s="1">
        <v>40508</v>
      </c>
      <c r="G95">
        <v>660643374</v>
      </c>
      <c r="H95" s="1">
        <v>40537</v>
      </c>
      <c r="I95">
        <v>7910</v>
      </c>
      <c r="J95">
        <v>437.2</v>
      </c>
      <c r="K95">
        <v>263.33</v>
      </c>
      <c r="L95">
        <v>3458252</v>
      </c>
      <c r="M95">
        <v>1375311.7</v>
      </c>
      <c r="N95">
        <v>2082940.3</v>
      </c>
    </row>
    <row r="96" spans="1:14" x14ac:dyDescent="0.3">
      <c r="A96" t="s">
        <v>19</v>
      </c>
      <c r="B96" t="s">
        <v>112</v>
      </c>
      <c r="C96" t="s">
        <v>52</v>
      </c>
      <c r="D96" t="s">
        <v>17</v>
      </c>
      <c r="E96" t="s">
        <v>23</v>
      </c>
      <c r="F96" s="1">
        <v>40582</v>
      </c>
      <c r="G96">
        <v>963392674</v>
      </c>
      <c r="H96" s="1">
        <v>40623</v>
      </c>
      <c r="I96">
        <v>8156</v>
      </c>
      <c r="J96">
        <v>47.45</v>
      </c>
      <c r="K96">
        <v>31.79</v>
      </c>
      <c r="L96">
        <v>387002.2</v>
      </c>
      <c r="M96">
        <v>127722.96</v>
      </c>
      <c r="N96">
        <v>259279.24</v>
      </c>
    </row>
    <row r="97" spans="1:14" x14ac:dyDescent="0.3">
      <c r="A97" t="s">
        <v>28</v>
      </c>
      <c r="B97" t="s">
        <v>63</v>
      </c>
      <c r="C97" t="s">
        <v>44</v>
      </c>
      <c r="D97" t="s">
        <v>22</v>
      </c>
      <c r="E97" t="s">
        <v>35</v>
      </c>
      <c r="F97" s="1">
        <v>40750</v>
      </c>
      <c r="G97">
        <v>512878119</v>
      </c>
      <c r="H97" s="1">
        <v>40789</v>
      </c>
      <c r="I97">
        <v>888</v>
      </c>
      <c r="J97">
        <v>109.28</v>
      </c>
      <c r="K97">
        <v>35.840000000000003</v>
      </c>
      <c r="L97">
        <v>97040.639999999999</v>
      </c>
      <c r="M97">
        <v>65214.720000000001</v>
      </c>
      <c r="N97">
        <v>31825.919999999998</v>
      </c>
    </row>
    <row r="98" spans="1:14" x14ac:dyDescent="0.3">
      <c r="A98" t="s">
        <v>41</v>
      </c>
      <c r="B98" t="s">
        <v>113</v>
      </c>
      <c r="C98" t="s">
        <v>30</v>
      </c>
      <c r="D98" t="s">
        <v>17</v>
      </c>
      <c r="E98" t="s">
        <v>27</v>
      </c>
      <c r="F98" s="1">
        <v>40858</v>
      </c>
      <c r="G98">
        <v>810711038</v>
      </c>
      <c r="H98" s="1">
        <v>40905</v>
      </c>
      <c r="I98">
        <v>6267</v>
      </c>
      <c r="J98">
        <v>9.33</v>
      </c>
      <c r="K98">
        <v>6.92</v>
      </c>
      <c r="L98">
        <v>58471.11</v>
      </c>
      <c r="M98">
        <v>15103.47</v>
      </c>
      <c r="N98">
        <v>43367.64</v>
      </c>
    </row>
    <row r="99" spans="1:14" x14ac:dyDescent="0.3">
      <c r="A99" t="s">
        <v>28</v>
      </c>
      <c r="B99" t="s">
        <v>84</v>
      </c>
      <c r="C99" t="s">
        <v>37</v>
      </c>
      <c r="D99" t="s">
        <v>17</v>
      </c>
      <c r="E99" t="s">
        <v>23</v>
      </c>
      <c r="F99" s="1">
        <v>42522</v>
      </c>
      <c r="G99">
        <v>728815257</v>
      </c>
      <c r="H99" s="1">
        <v>42550</v>
      </c>
      <c r="I99">
        <v>1485</v>
      </c>
      <c r="J99">
        <v>154.06</v>
      </c>
      <c r="K99">
        <v>90.93</v>
      </c>
      <c r="L99">
        <v>228779.1</v>
      </c>
      <c r="M99">
        <v>93748.05</v>
      </c>
      <c r="N99">
        <v>135031.04999999999</v>
      </c>
    </row>
    <row r="100" spans="1:14" x14ac:dyDescent="0.3">
      <c r="A100" t="s">
        <v>98</v>
      </c>
      <c r="B100" t="s">
        <v>99</v>
      </c>
      <c r="C100" t="s">
        <v>39</v>
      </c>
      <c r="D100" t="s">
        <v>17</v>
      </c>
      <c r="E100" t="s">
        <v>35</v>
      </c>
      <c r="F100" s="1">
        <v>42215</v>
      </c>
      <c r="G100">
        <v>559427106</v>
      </c>
      <c r="H100" s="1">
        <v>42224</v>
      </c>
      <c r="I100">
        <v>5767</v>
      </c>
      <c r="J100">
        <v>81.73</v>
      </c>
      <c r="K100">
        <v>56.67</v>
      </c>
      <c r="L100">
        <v>471336.91</v>
      </c>
      <c r="M100">
        <v>144521.01999999999</v>
      </c>
      <c r="N100">
        <v>326815.89</v>
      </c>
    </row>
    <row r="101" spans="1:14" x14ac:dyDescent="0.3">
      <c r="A101" t="s">
        <v>28</v>
      </c>
      <c r="B101" t="s">
        <v>114</v>
      </c>
      <c r="C101" t="s">
        <v>34</v>
      </c>
      <c r="D101" t="s">
        <v>17</v>
      </c>
      <c r="E101" t="s">
        <v>27</v>
      </c>
      <c r="F101" s="1">
        <v>40949</v>
      </c>
      <c r="G101">
        <v>665095412</v>
      </c>
      <c r="H101" s="1">
        <v>40954</v>
      </c>
      <c r="I101">
        <v>5367</v>
      </c>
      <c r="J101">
        <v>668.27</v>
      </c>
      <c r="K101">
        <v>502.54</v>
      </c>
      <c r="L101">
        <v>3586605.09</v>
      </c>
      <c r="M101">
        <v>889472.91</v>
      </c>
      <c r="N101">
        <v>2697132.18</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2EED53-6D59-4C99-A0D0-7F13B03A127F}">
  <sheetPr codeName="Sheet2"/>
  <dimension ref="A1:L77"/>
  <sheetViews>
    <sheetView topLeftCell="D4" zoomScale="115" zoomScaleNormal="115" workbookViewId="0">
      <selection activeCell="K18" sqref="K18"/>
    </sheetView>
  </sheetViews>
  <sheetFormatPr defaultRowHeight="14.4" x14ac:dyDescent="0.3"/>
  <cols>
    <col min="1" max="1" width="29.21875" bestFit="1" customWidth="1"/>
    <col min="2" max="2" width="11.109375" bestFit="1" customWidth="1"/>
    <col min="3" max="3" width="13.44140625" bestFit="1" customWidth="1"/>
    <col min="5" max="5" width="19.88671875" bestFit="1" customWidth="1"/>
    <col min="6" max="6" width="13.33203125" bestFit="1" customWidth="1"/>
    <col min="7" max="7" width="11.109375" bestFit="1" customWidth="1"/>
    <col min="8" max="8" width="13.109375" bestFit="1" customWidth="1"/>
    <col min="9" max="9" width="11.5546875" bestFit="1" customWidth="1"/>
    <col min="10" max="10" width="30.44140625" bestFit="1" customWidth="1"/>
    <col min="11" max="11" width="16.33203125" bestFit="1" customWidth="1"/>
    <col min="12" max="12" width="12.33203125" bestFit="1" customWidth="1"/>
  </cols>
  <sheetData>
    <row r="1" spans="1:12" x14ac:dyDescent="0.3">
      <c r="A1" s="6" t="s">
        <v>1</v>
      </c>
      <c r="B1" s="6" t="s">
        <v>133</v>
      </c>
      <c r="C1" s="6" t="s">
        <v>11</v>
      </c>
    </row>
    <row r="2" spans="1:12" x14ac:dyDescent="0.3">
      <c r="A2" t="s">
        <v>15</v>
      </c>
      <c r="B2">
        <f>SUMIFS(Table1[Total Profit],Table1[Country],$A2)</f>
        <v>951410.5</v>
      </c>
      <c r="C2">
        <f>SUMIFS(Table1[Total Revenue],Table1[Country],$A2)</f>
        <v>2533654</v>
      </c>
      <c r="E2" t="s">
        <v>25</v>
      </c>
    </row>
    <row r="3" spans="1:12" x14ac:dyDescent="0.3">
      <c r="A3" t="s">
        <v>20</v>
      </c>
      <c r="B3">
        <f>SUMIFS(Table1[Total Profit],Table1[Country],$A3)</f>
        <v>248406.36</v>
      </c>
      <c r="C3">
        <f>SUMIFS(Table1[Total Revenue],Table1[Country],$A3)</f>
        <v>576782.80000000005</v>
      </c>
      <c r="E3" s="6" t="s">
        <v>2</v>
      </c>
      <c r="F3" s="6" t="s">
        <v>134</v>
      </c>
      <c r="G3" s="6" t="s">
        <v>133</v>
      </c>
      <c r="H3" s="6" t="s">
        <v>11</v>
      </c>
    </row>
    <row r="4" spans="1:12" x14ac:dyDescent="0.3">
      <c r="A4" t="s">
        <v>25</v>
      </c>
      <c r="B4">
        <f>SUMIFS(Table1[Total Profit],Table1[Country],$A4)</f>
        <v>224598.75</v>
      </c>
      <c r="C4">
        <f>SUMIFS(Table1[Total Revenue],Table1[Country],$A4)</f>
        <v>1158502.5900000001</v>
      </c>
      <c r="E4" s="7" t="s">
        <v>16</v>
      </c>
      <c r="F4">
        <f>COUNTIFS(Table1[Item Type],$E4,Table1[Country],$E$2)</f>
        <v>0</v>
      </c>
      <c r="G4">
        <f>SUMIFS(Table1[Total Profit],Table1[Item Type],$E4,Table1[Country],$E$2)</f>
        <v>0</v>
      </c>
      <c r="H4">
        <f>SUMIFS(Table1[Total Revenue],Table1[Item Type],$E4,Table1[Country],$E$2)</f>
        <v>0</v>
      </c>
      <c r="J4" s="10" t="s">
        <v>136</v>
      </c>
      <c r="K4">
        <f>COUNTA(Table1[Order ID])</f>
        <v>100</v>
      </c>
    </row>
    <row r="5" spans="1:12" x14ac:dyDescent="0.3">
      <c r="A5" t="s">
        <v>29</v>
      </c>
      <c r="B5">
        <f>SUMIFS(Table1[Total Profit],Table1[Country],$A5)</f>
        <v>176193.13</v>
      </c>
      <c r="C5">
        <f>SUMIFS(Table1[Total Revenue],Table1[Country],$A5)</f>
        <v>565780.91999999993</v>
      </c>
      <c r="E5" s="8" t="s">
        <v>21</v>
      </c>
      <c r="F5">
        <f>COUNTIFS(Table1[Item Type],$E5,Table1[Country],$E$2)</f>
        <v>0</v>
      </c>
      <c r="G5">
        <f>SUMIFS(Table1[Total Profit],Table1[Item Type],$E5,Table1[Country],$E$2)</f>
        <v>0</v>
      </c>
      <c r="H5">
        <f>SUMIFS(Table1[Total Revenue],Table1[Item Type],$E5,Table1[Country],$E$2)</f>
        <v>0</v>
      </c>
      <c r="J5" s="10" t="s">
        <v>133</v>
      </c>
      <c r="K5" s="11">
        <f>SUM(Table1[Total Profit])</f>
        <v>44168198.399999991</v>
      </c>
    </row>
    <row r="6" spans="1:12" x14ac:dyDescent="0.3">
      <c r="A6" t="s">
        <v>31</v>
      </c>
      <c r="B6">
        <f>SUMIFS(Table1[Total Profit],Table1[Country],$A6)</f>
        <v>1417493.49</v>
      </c>
      <c r="C6">
        <f>SUMIFS(Table1[Total Revenue],Table1[Country],$A6)</f>
        <v>5253769.42</v>
      </c>
      <c r="E6" s="7" t="s">
        <v>26</v>
      </c>
      <c r="F6">
        <f>COUNTIFS(Table1[Item Type],$E6,Table1[Country],$E$2)</f>
        <v>1</v>
      </c>
      <c r="G6">
        <f>SUMIFS(Table1[Total Profit],Table1[Item Type],$E6,Table1[Country],$E$2)</f>
        <v>224598.75</v>
      </c>
      <c r="H6">
        <f>SUMIFS(Table1[Total Revenue],Table1[Item Type],$E6,Table1[Country],$E$2)</f>
        <v>1158502.5900000001</v>
      </c>
      <c r="J6" s="10" t="s">
        <v>11</v>
      </c>
      <c r="K6" s="12">
        <f>SUM(Table1[Total Revenue])</f>
        <v>137348768.30999997</v>
      </c>
    </row>
    <row r="7" spans="1:12" x14ac:dyDescent="0.3">
      <c r="A7" t="s">
        <v>32</v>
      </c>
      <c r="B7">
        <f>SUMIFS(Table1[Total Profit],Table1[Country],$A7)</f>
        <v>285087.64</v>
      </c>
      <c r="C7">
        <f>SUMIFS(Table1[Total Revenue],Table1[Country],$A7)</f>
        <v>759202.72</v>
      </c>
      <c r="E7" s="8" t="s">
        <v>30</v>
      </c>
      <c r="F7">
        <f>COUNTIFS(Table1[Item Type],$E7,Table1[Country],$E$2)</f>
        <v>0</v>
      </c>
      <c r="G7">
        <f>SUMIFS(Table1[Total Profit],Table1[Item Type],$E7,Table1[Country],$E$2)</f>
        <v>0</v>
      </c>
      <c r="H7">
        <f>SUMIFS(Table1[Total Revenue],Table1[Item Type],$E7,Table1[Country],$E$2)</f>
        <v>0</v>
      </c>
    </row>
    <row r="8" spans="1:12" x14ac:dyDescent="0.3">
      <c r="A8" t="s">
        <v>33</v>
      </c>
      <c r="B8">
        <f>SUMIFS(Table1[Total Profit],Table1[Country],$A8)</f>
        <v>693911.51</v>
      </c>
      <c r="C8">
        <f>SUMIFS(Table1[Total Revenue],Table1[Country],$A8)</f>
        <v>2798046.49</v>
      </c>
      <c r="E8" s="7" t="s">
        <v>34</v>
      </c>
      <c r="F8">
        <f>COUNTIFS(Table1[Item Type],$E8,Table1[Country],$E$2)</f>
        <v>0</v>
      </c>
      <c r="G8">
        <f>SUMIFS(Table1[Total Profit],Table1[Item Type],$E8,Table1[Country],$E$2)</f>
        <v>0</v>
      </c>
      <c r="H8">
        <f>SUMIFS(Table1[Total Revenue],Table1[Item Type],$E8,Table1[Country],$E$2)</f>
        <v>0</v>
      </c>
      <c r="J8" s="10" t="s">
        <v>137</v>
      </c>
      <c r="K8" s="11">
        <f>MAX(B2:B77)</f>
        <v>2425317.87</v>
      </c>
      <c r="L8" t="str">
        <f>INDEX(A2:A77,MATCH(K8,B2:B77))</f>
        <v>Mozambique</v>
      </c>
    </row>
    <row r="9" spans="1:12" x14ac:dyDescent="0.3">
      <c r="A9" t="s">
        <v>36</v>
      </c>
      <c r="B9">
        <f>SUMIFS(Table1[Total Profit],Table1[Country],$A9)</f>
        <v>510216.66</v>
      </c>
      <c r="C9">
        <f>SUMIFS(Table1[Total Revenue],Table1[Country],$A9)</f>
        <v>1245112.92</v>
      </c>
      <c r="E9" s="8" t="s">
        <v>37</v>
      </c>
      <c r="F9">
        <f>COUNTIFS(Table1[Item Type],$E9,Table1[Country],$E$2)</f>
        <v>0</v>
      </c>
      <c r="G9">
        <f>SUMIFS(Table1[Total Profit],Table1[Item Type],$E9,Table1[Country],$E$2)</f>
        <v>0</v>
      </c>
      <c r="H9">
        <f>SUMIFS(Table1[Total Revenue],Table1[Item Type],$E9,Table1[Country],$E$2)</f>
        <v>0</v>
      </c>
      <c r="J9" s="10" t="s">
        <v>138</v>
      </c>
      <c r="K9" s="11">
        <f>MAX(C2:C77)</f>
        <v>6336545.4800000004</v>
      </c>
      <c r="L9" t="str">
        <f>INDEX(A2:A77,MATCH(K9,C2:C77))</f>
        <v>Mozambique</v>
      </c>
    </row>
    <row r="10" spans="1:12" x14ac:dyDescent="0.3">
      <c r="A10" t="s">
        <v>38</v>
      </c>
      <c r="B10">
        <f>SUMIFS(Table1[Total Profit],Table1[Country],$A10)</f>
        <v>152114.20000000001</v>
      </c>
      <c r="C10">
        <f>SUMIFS(Table1[Total Revenue],Table1[Country],$A10)</f>
        <v>496101.1</v>
      </c>
      <c r="E10" s="7" t="s">
        <v>39</v>
      </c>
      <c r="F10">
        <f>COUNTIFS(Table1[Item Type],$E10,Table1[Country],$E$2)</f>
        <v>0</v>
      </c>
      <c r="G10">
        <f>SUMIFS(Table1[Total Profit],Table1[Item Type],$E10,Table1[Country],$E$2)</f>
        <v>0</v>
      </c>
      <c r="H10">
        <f>SUMIFS(Table1[Total Revenue],Table1[Item Type],$E10,Table1[Country],$E$2)</f>
        <v>0</v>
      </c>
    </row>
    <row r="11" spans="1:12" x14ac:dyDescent="0.3">
      <c r="A11" t="s">
        <v>40</v>
      </c>
      <c r="B11">
        <f>SUMIFS(Table1[Total Profit],Table1[Country],$A11)</f>
        <v>584073.87</v>
      </c>
      <c r="C11">
        <f>SUMIFS(Table1[Total Revenue],Table1[Country],$A11)</f>
        <v>1356180.1</v>
      </c>
      <c r="E11" s="8" t="s">
        <v>44</v>
      </c>
      <c r="F11">
        <f>COUNTIFS(Table1[Item Type],$E11,Table1[Country],$E$2)</f>
        <v>0</v>
      </c>
      <c r="G11">
        <f>SUMIFS(Table1[Total Profit],Table1[Item Type],$E11,Table1[Country],$E$2)</f>
        <v>0</v>
      </c>
      <c r="H11">
        <f>SUMIFS(Table1[Total Revenue],Table1[Item Type],$E11,Table1[Country],$E$2)</f>
        <v>0</v>
      </c>
      <c r="J11" s="10" t="s">
        <v>139</v>
      </c>
      <c r="K11" s="11">
        <f>MAX(F19:F30)</f>
        <v>14556048.66</v>
      </c>
      <c r="L11" t="str">
        <f>INDEX(E19:E30,MATCH(K11,F19:F30))</f>
        <v>Cosmetics</v>
      </c>
    </row>
    <row r="12" spans="1:12" x14ac:dyDescent="0.3">
      <c r="A12" t="s">
        <v>42</v>
      </c>
      <c r="B12">
        <f>SUMIFS(Table1[Total Profit],Table1[Country],$A12)</f>
        <v>7828.12</v>
      </c>
      <c r="C12">
        <f>SUMIFS(Table1[Total Revenue],Table1[Country],$A12)</f>
        <v>19103.439999999999</v>
      </c>
      <c r="E12" s="7" t="s">
        <v>50</v>
      </c>
      <c r="F12">
        <f>COUNTIFS(Table1[Item Type],$E12,Table1[Country],$E$2)</f>
        <v>0</v>
      </c>
      <c r="G12">
        <f>SUMIFS(Table1[Total Profit],Table1[Item Type],$E12,Table1[Country],$E$2)</f>
        <v>0</v>
      </c>
      <c r="H12">
        <f>SUMIFS(Table1[Total Revenue],Table1[Item Type],$E12,Table1[Country],$E$2)</f>
        <v>0</v>
      </c>
      <c r="J12" s="10" t="s">
        <v>141</v>
      </c>
      <c r="K12" s="11">
        <f>MAX(I20:I21)</f>
        <v>24920726.669999991</v>
      </c>
      <c r="L12" t="str">
        <f>INDEX(H20:H21,MATCH(K12,I20:I21))</f>
        <v>Offline</v>
      </c>
    </row>
    <row r="13" spans="1:12" x14ac:dyDescent="0.3">
      <c r="A13" t="s">
        <v>43</v>
      </c>
      <c r="B13">
        <f>SUMIFS(Table1[Total Profit],Table1[Country],$A13)</f>
        <v>306097.91999999998</v>
      </c>
      <c r="C13">
        <f>SUMIFS(Table1[Total Revenue],Table1[Country],$A13)</f>
        <v>455479.03999999998</v>
      </c>
      <c r="E13" s="8" t="s">
        <v>52</v>
      </c>
      <c r="F13">
        <f>COUNTIFS(Table1[Item Type],$E13,Table1[Country],$E$2)</f>
        <v>0</v>
      </c>
      <c r="G13">
        <f>SUMIFS(Table1[Total Profit],Table1[Item Type],$E13,Table1[Country],$E$2)</f>
        <v>0</v>
      </c>
      <c r="H13">
        <f>SUMIFS(Table1[Total Revenue],Table1[Item Type],$E13,Table1[Country],$E$2)</f>
        <v>0</v>
      </c>
    </row>
    <row r="14" spans="1:12" x14ac:dyDescent="0.3">
      <c r="A14" t="s">
        <v>45</v>
      </c>
      <c r="B14">
        <f>SUMIFS(Table1[Total Profit],Table1[Country],$A14)</f>
        <v>606834.72</v>
      </c>
      <c r="C14">
        <f>SUMIFS(Table1[Total Revenue],Table1[Country],$A14)</f>
        <v>902980.64</v>
      </c>
      <c r="E14" s="8" t="s">
        <v>55</v>
      </c>
      <c r="F14">
        <f>COUNTIFS(Table1[Item Type],$E14,Table1[Country],$E$2)</f>
        <v>0</v>
      </c>
      <c r="G14">
        <f>SUMIFS(Table1[Total Profit],Table1[Item Type],$E14,Table1[Country],$E$2)</f>
        <v>0</v>
      </c>
      <c r="H14">
        <f>SUMIFS(Table1[Total Revenue],Table1[Item Type],$E14,Table1[Country],$E$2)</f>
        <v>0</v>
      </c>
      <c r="J14" s="10" t="s">
        <v>142</v>
      </c>
      <c r="K14" s="12">
        <f>MAX(Table1[Total Profit])</f>
        <v>1719922.04</v>
      </c>
      <c r="L14" s="1">
        <f>INDEX(Table1[Order Date],MATCH($K$14,Table1[Total Profit]))</f>
        <v>41460</v>
      </c>
    </row>
    <row r="15" spans="1:12" x14ac:dyDescent="0.3">
      <c r="A15" t="s">
        <v>46</v>
      </c>
      <c r="B15">
        <f>SUMIFS(Table1[Total Profit],Table1[Country],$A15)</f>
        <v>1609947.52</v>
      </c>
      <c r="C15">
        <f>SUMIFS(Table1[Total Revenue],Table1[Country],$A15)</f>
        <v>6336545.4800000004</v>
      </c>
      <c r="E15" s="7" t="s">
        <v>58</v>
      </c>
      <c r="F15">
        <f>COUNTIFS(Table1[Item Type],$E15,Table1[Country],$E$2)</f>
        <v>0</v>
      </c>
      <c r="G15">
        <f>SUMIFS(Table1[Total Profit],Table1[Item Type],$E15,Table1[Country],$E$2)</f>
        <v>0</v>
      </c>
      <c r="H15">
        <f>SUMIFS(Table1[Total Revenue],Table1[Item Type],$E15,Table1[Country],$E$2)</f>
        <v>0</v>
      </c>
    </row>
    <row r="16" spans="1:12" x14ac:dyDescent="0.3">
      <c r="A16" t="s">
        <v>47</v>
      </c>
      <c r="B16">
        <f>SUMIFS(Table1[Total Profit],Table1[Country],$A16)</f>
        <v>122819.06</v>
      </c>
      <c r="C16">
        <f>SUMIFS(Table1[Total Revenue],Table1[Country],$A16)</f>
        <v>400558.73</v>
      </c>
      <c r="E16" s="9" t="s">
        <v>135</v>
      </c>
      <c r="F16">
        <f>SUM(F4:F15)</f>
        <v>1</v>
      </c>
      <c r="G16">
        <f>SUM(G4:G15)</f>
        <v>224598.75</v>
      </c>
      <c r="H16">
        <f>SUM(H4:H15)</f>
        <v>1158502.5900000001</v>
      </c>
    </row>
    <row r="17" spans="1:9" x14ac:dyDescent="0.3">
      <c r="A17" t="s">
        <v>48</v>
      </c>
      <c r="B17">
        <f>SUMIFS(Table1[Total Profit],Table1[Country],$A17)</f>
        <v>626223.87</v>
      </c>
      <c r="C17">
        <f>SUMIFS(Table1[Total Revenue],Table1[Country],$A17)</f>
        <v>2779199.71</v>
      </c>
    </row>
    <row r="18" spans="1:9" x14ac:dyDescent="0.3">
      <c r="A18" t="s">
        <v>49</v>
      </c>
      <c r="B18">
        <f>SUMIFS(Table1[Total Profit],Table1[Country],$A18)</f>
        <v>1208744.24</v>
      </c>
      <c r="C18">
        <f>SUMIFS(Table1[Total Revenue],Table1[Country],$A18)</f>
        <v>3039414.4</v>
      </c>
      <c r="E18" s="13" t="s">
        <v>140</v>
      </c>
      <c r="F18" s="13" t="s">
        <v>13</v>
      </c>
      <c r="G18" s="13" t="s">
        <v>134</v>
      </c>
    </row>
    <row r="19" spans="1:9" x14ac:dyDescent="0.3">
      <c r="A19" t="s">
        <v>51</v>
      </c>
      <c r="B19">
        <f>SUMIFS(Table1[Total Profit],Table1[Country],$A19)</f>
        <v>781681.3</v>
      </c>
      <c r="C19">
        <f>SUMIFS(Table1[Total Revenue],Table1[Country],$A19)</f>
        <v>3851030.28</v>
      </c>
      <c r="E19" t="s">
        <v>16</v>
      </c>
      <c r="F19">
        <f>SUMIFS(Table1[Total Profit],Table1[Item Type],$E19)</f>
        <v>3886643.7</v>
      </c>
      <c r="G19">
        <f>COUNTIFS(Table1[Item Type],$E19)</f>
        <v>7</v>
      </c>
      <c r="H19" s="15" t="s">
        <v>3</v>
      </c>
    </row>
    <row r="20" spans="1:9" x14ac:dyDescent="0.3">
      <c r="A20" t="s">
        <v>53</v>
      </c>
      <c r="B20">
        <f>SUMIFS(Table1[Total Profit],Table1[Country],$A20)</f>
        <v>1267258.3999999999</v>
      </c>
      <c r="C20">
        <f>SUMIFS(Table1[Total Revenue],Table1[Country],$A20)</f>
        <v>5822036.2000000002</v>
      </c>
      <c r="E20" t="s">
        <v>21</v>
      </c>
      <c r="F20">
        <f>SUMIFS(Table1[Total Profit],Table1[Item Type],$E20)</f>
        <v>2292443.4299999997</v>
      </c>
      <c r="G20">
        <f>COUNTIFS(Table1[Item Type],$E20)</f>
        <v>7</v>
      </c>
      <c r="H20" s="7" t="s">
        <v>17</v>
      </c>
      <c r="I20">
        <f>SUMIFS(Table1[Total Profit],Table1[Sales Channel],$H20)</f>
        <v>24920726.669999991</v>
      </c>
    </row>
    <row r="21" spans="1:9" x14ac:dyDescent="0.3">
      <c r="A21" t="s">
        <v>54</v>
      </c>
      <c r="B21">
        <f>SUMIFS(Table1[Total Profit],Table1[Country],$A21)</f>
        <v>337937.6</v>
      </c>
      <c r="C21">
        <f>SUMIFS(Table1[Total Revenue],Table1[Country],$A21)</f>
        <v>2492526.12</v>
      </c>
      <c r="E21" t="s">
        <v>26</v>
      </c>
      <c r="F21">
        <f>SUMIFS(Table1[Total Profit],Table1[Item Type],$E21)</f>
        <v>5929583.75</v>
      </c>
      <c r="G21">
        <f>COUNTIFS(Table1[Item Type],$E21)</f>
        <v>12</v>
      </c>
      <c r="H21" s="8" t="s">
        <v>22</v>
      </c>
      <c r="I21">
        <f>SUMIFS(Table1[Total Profit],Table1[Sales Channel],$H21)</f>
        <v>19247471.73</v>
      </c>
    </row>
    <row r="22" spans="1:9" x14ac:dyDescent="0.3">
      <c r="A22" t="s">
        <v>56</v>
      </c>
      <c r="B22">
        <f>SUMIFS(Table1[Total Profit],Table1[Country],$A22)</f>
        <v>794398.84</v>
      </c>
      <c r="C22">
        <f>SUMIFS(Table1[Total Revenue],Table1[Country],$A22)</f>
        <v>2144969.7999999998</v>
      </c>
      <c r="E22" t="s">
        <v>30</v>
      </c>
      <c r="F22">
        <f>SUMIFS(Table1[Total Profit],Table1[Item Type],$E22)</f>
        <v>120495.18</v>
      </c>
      <c r="G22">
        <f>COUNTIFS(Table1[Item Type],$E22)</f>
        <v>10</v>
      </c>
    </row>
    <row r="23" spans="1:9" x14ac:dyDescent="0.3">
      <c r="A23" t="s">
        <v>57</v>
      </c>
      <c r="B23">
        <f>SUMIFS(Table1[Total Profit],Table1[Country],$A23)</f>
        <v>122029.78</v>
      </c>
      <c r="C23">
        <f>SUMIFS(Table1[Total Revenue],Table1[Country],$A23)</f>
        <v>324971.44</v>
      </c>
      <c r="E23" t="s">
        <v>34</v>
      </c>
      <c r="F23">
        <f>SUMIFS(Table1[Total Profit],Table1[Item Type],$E23)</f>
        <v>7412605.7100000009</v>
      </c>
      <c r="G23">
        <f>COUNTIFS(Table1[Item Type],$E23)</f>
        <v>9</v>
      </c>
    </row>
    <row r="24" spans="1:9" x14ac:dyDescent="0.3">
      <c r="A24" t="s">
        <v>59</v>
      </c>
      <c r="B24">
        <f>SUMIFS(Table1[Total Profit],Table1[Country],$A24)</f>
        <v>5270.67</v>
      </c>
      <c r="C24">
        <f>SUMIFS(Table1[Total Revenue],Table1[Country],$A24)</f>
        <v>20404.71</v>
      </c>
      <c r="E24" t="s">
        <v>37</v>
      </c>
      <c r="F24">
        <f>SUMIFS(Table1[Total Profit],Table1[Item Type],$E24)</f>
        <v>1265819.6300000001</v>
      </c>
      <c r="G24">
        <f>COUNTIFS(Table1[Item Type],$E24)</f>
        <v>6</v>
      </c>
    </row>
    <row r="25" spans="1:9" x14ac:dyDescent="0.3">
      <c r="A25" t="s">
        <v>60</v>
      </c>
      <c r="B25">
        <f>SUMIFS(Table1[Total Profit],Table1[Country],$A25)</f>
        <v>127054.2</v>
      </c>
      <c r="C25">
        <f>SUMIFS(Table1[Total Revenue],Table1[Country],$A25)</f>
        <v>414371.1</v>
      </c>
      <c r="E25" t="s">
        <v>39</v>
      </c>
      <c r="F25">
        <f>SUMIFS(Table1[Total Profit],Table1[Item Type],$E25)</f>
        <v>1220622.48</v>
      </c>
      <c r="G25">
        <f>COUNTIFS(Table1[Item Type],$E25)</f>
        <v>10</v>
      </c>
    </row>
    <row r="26" spans="1:9" x14ac:dyDescent="0.3">
      <c r="A26" t="s">
        <v>61</v>
      </c>
      <c r="B26">
        <f>SUMIFS(Table1[Total Profit],Table1[Country],$A26)</f>
        <v>315574.05</v>
      </c>
      <c r="C26">
        <f>SUMIFS(Table1[Total Revenue],Table1[Country],$A26)</f>
        <v>793518</v>
      </c>
      <c r="E26" t="s">
        <v>44</v>
      </c>
      <c r="F26">
        <f>SUMIFS(Table1[Total Profit],Table1[Item Type],$E26)</f>
        <v>5233334.4000000004</v>
      </c>
      <c r="G26">
        <f>COUNTIFS(Table1[Item Type],$E26)</f>
        <v>13</v>
      </c>
    </row>
    <row r="27" spans="1:9" x14ac:dyDescent="0.3">
      <c r="A27" t="s">
        <v>62</v>
      </c>
      <c r="B27">
        <f>SUMIFS(Table1[Total Profit],Table1[Country],$A27)</f>
        <v>13009.18</v>
      </c>
      <c r="C27">
        <f>SUMIFS(Table1[Total Revenue],Table1[Country],$A27)</f>
        <v>50363.34</v>
      </c>
      <c r="E27" t="s">
        <v>50</v>
      </c>
      <c r="F27">
        <f>SUMIFS(Table1[Total Profit],Table1[Item Type],$E27)</f>
        <v>14556048.66</v>
      </c>
      <c r="G27">
        <f>COUNTIFS(Table1[Item Type],$E27)</f>
        <v>13</v>
      </c>
    </row>
    <row r="28" spans="1:9" x14ac:dyDescent="0.3">
      <c r="A28" t="s">
        <v>63</v>
      </c>
      <c r="B28">
        <f>SUMIFS(Table1[Total Profit],Table1[Country],$A28)</f>
        <v>79245.740000000005</v>
      </c>
      <c r="C28">
        <f>SUMIFS(Table1[Total Revenue],Table1[Country],$A28)</f>
        <v>151359.9</v>
      </c>
      <c r="E28" t="s">
        <v>52</v>
      </c>
      <c r="F28">
        <f>SUMIFS(Table1[Total Profit],Table1[Item Type],$E28)</f>
        <v>888047.27999999991</v>
      </c>
      <c r="G28">
        <f>COUNTIFS(Table1[Item Type],$E28)</f>
        <v>8</v>
      </c>
    </row>
    <row r="29" spans="1:9" x14ac:dyDescent="0.3">
      <c r="A29" t="s">
        <v>64</v>
      </c>
      <c r="B29">
        <f>SUMIFS(Table1[Total Profit],Table1[Country],$A29)</f>
        <v>1385883.27</v>
      </c>
      <c r="C29">
        <f>SUMIFS(Table1[Total Revenue],Table1[Country],$A29)</f>
        <v>5449517.9499999993</v>
      </c>
      <c r="E29" t="s">
        <v>55</v>
      </c>
      <c r="F29">
        <f>SUMIFS(Table1[Total Profit],Table1[Item Type],$E29)</f>
        <v>610610</v>
      </c>
      <c r="G29">
        <f>COUNTIFS(Table1[Item Type],$E29)</f>
        <v>2</v>
      </c>
    </row>
    <row r="30" spans="1:9" x14ac:dyDescent="0.3">
      <c r="A30" t="s">
        <v>65</v>
      </c>
      <c r="B30">
        <f>SUMIFS(Table1[Total Profit],Table1[Country],$A30)</f>
        <v>1512729.45</v>
      </c>
      <c r="C30">
        <f>SUMIFS(Table1[Total Revenue],Table1[Country],$A30)</f>
        <v>3808901.49</v>
      </c>
      <c r="E30" t="s">
        <v>58</v>
      </c>
      <c r="F30">
        <f>SUMIFS(Table1[Total Profit],Table1[Item Type],$E30)</f>
        <v>751944.18</v>
      </c>
      <c r="G30">
        <f>COUNTIFS(Table1[Item Type],$E30)</f>
        <v>3</v>
      </c>
    </row>
    <row r="31" spans="1:9" x14ac:dyDescent="0.3">
      <c r="A31" t="s">
        <v>66</v>
      </c>
      <c r="B31">
        <f>SUMIFS(Table1[Total Profit],Table1[Country],$A31)</f>
        <v>53252.5</v>
      </c>
      <c r="C31">
        <f>SUMIFS(Table1[Total Revenue],Table1[Country],$A31)</f>
        <v>173676.25</v>
      </c>
    </row>
    <row r="32" spans="1:9" x14ac:dyDescent="0.3">
      <c r="A32" t="s">
        <v>67</v>
      </c>
      <c r="B32">
        <f>SUMIFS(Table1[Total Profit],Table1[Country],$A32)</f>
        <v>576605.12</v>
      </c>
      <c r="C32">
        <f>SUMIFS(Table1[Total Revenue],Table1[Country],$A32)</f>
        <v>2489933.4899999998</v>
      </c>
    </row>
    <row r="33" spans="1:3" x14ac:dyDescent="0.3">
      <c r="A33" t="s">
        <v>68</v>
      </c>
      <c r="B33">
        <f>SUMIFS(Table1[Total Profit],Table1[Country],$A33)</f>
        <v>1802771.7</v>
      </c>
      <c r="C33">
        <f>SUMIFS(Table1[Total Revenue],Table1[Country],$A33)</f>
        <v>6161257.9000000004</v>
      </c>
    </row>
    <row r="34" spans="1:3" x14ac:dyDescent="0.3">
      <c r="A34" t="s">
        <v>69</v>
      </c>
      <c r="B34">
        <f>SUMIFS(Table1[Total Profit],Table1[Country],$A34)</f>
        <v>2425317.87</v>
      </c>
      <c r="C34">
        <f>SUMIFS(Table1[Total Revenue],Table1[Country],$A34)</f>
        <v>6052890.8600000003</v>
      </c>
    </row>
    <row r="35" spans="1:3" x14ac:dyDescent="0.3">
      <c r="A35" t="s">
        <v>70</v>
      </c>
      <c r="B35">
        <f>SUMIFS(Table1[Total Profit],Table1[Country],$A35)</f>
        <v>160609.54</v>
      </c>
      <c r="C35">
        <f>SUMIFS(Table1[Total Revenue],Table1[Country],$A35)</f>
        <v>523807.57</v>
      </c>
    </row>
    <row r="36" spans="1:3" x14ac:dyDescent="0.3">
      <c r="A36" t="s">
        <v>72</v>
      </c>
      <c r="B36">
        <f>SUMIFS(Table1[Total Profit],Table1[Country],$A36)</f>
        <v>9119.44</v>
      </c>
      <c r="C36">
        <f>SUMIFS(Table1[Total Revenue],Table1[Country],$A36)</f>
        <v>35304.720000000001</v>
      </c>
    </row>
    <row r="37" spans="1:3" x14ac:dyDescent="0.3">
      <c r="A37" t="s">
        <v>73</v>
      </c>
      <c r="B37">
        <f>SUMIFS(Table1[Total Profit],Table1[Country],$A37)</f>
        <v>846885</v>
      </c>
      <c r="C37">
        <f>SUMIFS(Table1[Total Revenue],Table1[Country],$A37)</f>
        <v>4368316.68</v>
      </c>
    </row>
    <row r="38" spans="1:3" x14ac:dyDescent="0.3">
      <c r="A38" t="s">
        <v>74</v>
      </c>
      <c r="B38">
        <f>SUMIFS(Table1[Total Profit],Table1[Country],$A38)</f>
        <v>75555.899999999994</v>
      </c>
      <c r="C38">
        <f>SUMIFS(Table1[Total Revenue],Table1[Country],$A38)</f>
        <v>246415.95</v>
      </c>
    </row>
    <row r="39" spans="1:3" x14ac:dyDescent="0.3">
      <c r="A39" t="s">
        <v>75</v>
      </c>
      <c r="B39">
        <f>SUMIFS(Table1[Total Profit],Table1[Country],$A39)</f>
        <v>1512926.83</v>
      </c>
      <c r="C39">
        <f>SUMIFS(Table1[Total Revenue],Table1[Country],$A39)</f>
        <v>4478800.21</v>
      </c>
    </row>
    <row r="40" spans="1:3" x14ac:dyDescent="0.3">
      <c r="A40" t="s">
        <v>76</v>
      </c>
      <c r="B40">
        <f>SUMIFS(Table1[Total Profit],Table1[Country],$A40)</f>
        <v>10795.23</v>
      </c>
      <c r="C40">
        <f>SUMIFS(Table1[Total Revenue],Table1[Country],$A40)</f>
        <v>26344.26</v>
      </c>
    </row>
    <row r="41" spans="1:3" x14ac:dyDescent="0.3">
      <c r="A41" t="s">
        <v>77</v>
      </c>
      <c r="B41">
        <f>SUMIFS(Table1[Total Profit],Table1[Country],$A41)</f>
        <v>85223.58</v>
      </c>
      <c r="C41">
        <f>SUMIFS(Table1[Total Revenue],Table1[Country],$A41)</f>
        <v>197883.4</v>
      </c>
    </row>
    <row r="42" spans="1:3" x14ac:dyDescent="0.3">
      <c r="A42" t="s">
        <v>78</v>
      </c>
      <c r="B42">
        <f>SUMIFS(Table1[Total Profit],Table1[Country],$A42)</f>
        <v>1541705.29</v>
      </c>
      <c r="C42">
        <f>SUMIFS(Table1[Total Revenue],Table1[Country],$A42)</f>
        <v>3876652.4</v>
      </c>
    </row>
    <row r="43" spans="1:3" x14ac:dyDescent="0.3">
      <c r="A43" t="s">
        <v>79</v>
      </c>
      <c r="B43">
        <f>SUMIFS(Table1[Total Profit],Table1[Country],$A43)</f>
        <v>575916.48</v>
      </c>
      <c r="C43">
        <f>SUMIFS(Table1[Total Revenue],Table1[Country],$A43)</f>
        <v>856973.76</v>
      </c>
    </row>
    <row r="44" spans="1:3" x14ac:dyDescent="0.3">
      <c r="A44" t="s">
        <v>80</v>
      </c>
      <c r="B44">
        <f>SUMIFS(Table1[Total Profit],Table1[Country],$A44)</f>
        <v>159832.5</v>
      </c>
      <c r="C44">
        <f>SUMIFS(Table1[Total Revenue],Table1[Country],$A44)</f>
        <v>824431.86</v>
      </c>
    </row>
    <row r="45" spans="1:3" x14ac:dyDescent="0.3">
      <c r="A45" t="s">
        <v>81</v>
      </c>
      <c r="B45">
        <f>SUMIFS(Table1[Total Profit],Table1[Country],$A45)</f>
        <v>166635.35999999999</v>
      </c>
      <c r="C45">
        <f>SUMIFS(Table1[Total Revenue],Table1[Country],$A45)</f>
        <v>247956.32</v>
      </c>
    </row>
    <row r="46" spans="1:3" x14ac:dyDescent="0.3">
      <c r="A46" t="s">
        <v>82</v>
      </c>
      <c r="B46">
        <f>SUMIFS(Table1[Total Profit],Table1[Country],$A46)</f>
        <v>23150.46</v>
      </c>
      <c r="C46">
        <f>SUMIFS(Table1[Total Revenue],Table1[Country],$A46)</f>
        <v>89623.98</v>
      </c>
    </row>
    <row r="47" spans="1:3" x14ac:dyDescent="0.3">
      <c r="A47" t="s">
        <v>83</v>
      </c>
      <c r="B47">
        <f>SUMIFS(Table1[Total Profit],Table1[Country],$A47)</f>
        <v>359941.17</v>
      </c>
      <c r="C47">
        <f>SUMIFS(Table1[Total Revenue],Table1[Country],$A47)</f>
        <v>835759.1</v>
      </c>
    </row>
    <row r="48" spans="1:3" x14ac:dyDescent="0.3">
      <c r="A48" t="s">
        <v>84</v>
      </c>
      <c r="B48">
        <f>SUMIFS(Table1[Total Profit],Table1[Country],$A48)</f>
        <v>649879.30000000005</v>
      </c>
      <c r="C48">
        <f>SUMIFS(Table1[Total Revenue],Table1[Country],$A48)</f>
        <v>3097359.1500000004</v>
      </c>
    </row>
    <row r="49" spans="1:3" x14ac:dyDescent="0.3">
      <c r="A49" t="s">
        <v>85</v>
      </c>
      <c r="B49">
        <f>SUMIFS(Table1[Total Profit],Table1[Country],$A49)</f>
        <v>255718.08</v>
      </c>
      <c r="C49">
        <f>SUMIFS(Table1[Total Revenue],Table1[Country],$A49)</f>
        <v>380512.96</v>
      </c>
    </row>
    <row r="50" spans="1:3" x14ac:dyDescent="0.3">
      <c r="A50" t="s">
        <v>86</v>
      </c>
      <c r="B50">
        <f>SUMIFS(Table1[Total Profit],Table1[Country],$A50)</f>
        <v>727423.2</v>
      </c>
      <c r="C50">
        <f>SUMIFS(Table1[Total Revenue],Table1[Country],$A50)</f>
        <v>1082418.3999999999</v>
      </c>
    </row>
    <row r="51" spans="1:3" x14ac:dyDescent="0.3">
      <c r="A51" t="s">
        <v>87</v>
      </c>
      <c r="B51">
        <f>SUMIFS(Table1[Total Profit],Table1[Country],$A51)</f>
        <v>495007.89</v>
      </c>
      <c r="C51">
        <f>SUMIFS(Table1[Total Revenue],Table1[Country],$A51)</f>
        <v>1244708.3999999999</v>
      </c>
    </row>
    <row r="52" spans="1:3" x14ac:dyDescent="0.3">
      <c r="A52" t="s">
        <v>88</v>
      </c>
      <c r="B52">
        <f>SUMIFS(Table1[Total Profit],Table1[Country],$A52)</f>
        <v>46735.86</v>
      </c>
      <c r="C52">
        <f>SUMIFS(Table1[Total Revenue],Table1[Country],$A52)</f>
        <v>188452.14</v>
      </c>
    </row>
    <row r="53" spans="1:3" x14ac:dyDescent="0.3">
      <c r="A53" t="s">
        <v>89</v>
      </c>
      <c r="B53">
        <f>SUMIFS(Table1[Total Profit],Table1[Country],$A53)</f>
        <v>455335</v>
      </c>
      <c r="C53">
        <f>SUMIFS(Table1[Total Revenue],Table1[Country],$A53)</f>
        <v>1212580</v>
      </c>
    </row>
    <row r="54" spans="1:3" x14ac:dyDescent="0.3">
      <c r="A54" t="s">
        <v>90</v>
      </c>
      <c r="B54">
        <f>SUMIFS(Table1[Total Profit],Table1[Country],$A54)</f>
        <v>450780.97</v>
      </c>
      <c r="C54">
        <f>SUMIFS(Table1[Total Revenue],Table1[Country],$A54)</f>
        <v>674635.57</v>
      </c>
    </row>
    <row r="55" spans="1:3" x14ac:dyDescent="0.3">
      <c r="A55" t="s">
        <v>91</v>
      </c>
      <c r="B55">
        <f>SUMIFS(Table1[Total Profit],Table1[Country],$A55)</f>
        <v>296448.34999999998</v>
      </c>
      <c r="C55">
        <f>SUMIFS(Table1[Total Revenue],Table1[Country],$A55)</f>
        <v>745426</v>
      </c>
    </row>
    <row r="56" spans="1:3" x14ac:dyDescent="0.3">
      <c r="A56" t="s">
        <v>92</v>
      </c>
      <c r="B56">
        <f>SUMIFS(Table1[Total Profit],Table1[Country],$A56)</f>
        <v>216919.36</v>
      </c>
      <c r="C56">
        <f>SUMIFS(Table1[Total Revenue],Table1[Country],$A56)</f>
        <v>707454.88</v>
      </c>
    </row>
    <row r="57" spans="1:3" x14ac:dyDescent="0.3">
      <c r="A57" t="s">
        <v>93</v>
      </c>
      <c r="B57">
        <f>SUMIFS(Table1[Total Profit],Table1[Country],$A57)</f>
        <v>403773.12</v>
      </c>
      <c r="C57">
        <f>SUMIFS(Table1[Total Revenue],Table1[Country],$A57)</f>
        <v>600821.43999999994</v>
      </c>
    </row>
    <row r="58" spans="1:3" x14ac:dyDescent="0.3">
      <c r="A58" t="s">
        <v>94</v>
      </c>
      <c r="B58">
        <f>SUMIFS(Table1[Total Profit],Table1[Country],$A58)</f>
        <v>1046233.75</v>
      </c>
      <c r="C58">
        <f>SUMIFS(Table1[Total Revenue],Table1[Country],$A58)</f>
        <v>5396577.2699999996</v>
      </c>
    </row>
    <row r="59" spans="1:3" x14ac:dyDescent="0.3">
      <c r="A59" t="s">
        <v>95</v>
      </c>
      <c r="B59">
        <f>SUMIFS(Table1[Total Profit],Table1[Country],$A59)</f>
        <v>539196.48</v>
      </c>
      <c r="C59">
        <f>SUMIFS(Table1[Total Revenue],Table1[Country],$A59)</f>
        <v>802333.76</v>
      </c>
    </row>
    <row r="60" spans="1:3" x14ac:dyDescent="0.3">
      <c r="A60" t="s">
        <v>96</v>
      </c>
      <c r="B60">
        <f>SUMIFS(Table1[Total Profit],Table1[Country],$A60)</f>
        <v>89904.06</v>
      </c>
      <c r="C60">
        <f>SUMIFS(Table1[Total Revenue],Table1[Country],$A60)</f>
        <v>272410.45</v>
      </c>
    </row>
    <row r="61" spans="1:3" x14ac:dyDescent="0.3">
      <c r="A61" t="s">
        <v>97</v>
      </c>
      <c r="B61">
        <f>SUMIFS(Table1[Total Profit],Table1[Country],$A61)</f>
        <v>1719922.04</v>
      </c>
      <c r="C61">
        <f>SUMIFS(Table1[Total Revenue],Table1[Country],$A61)</f>
        <v>4324782.4000000004</v>
      </c>
    </row>
    <row r="62" spans="1:3" x14ac:dyDescent="0.3">
      <c r="A62" t="s">
        <v>99</v>
      </c>
      <c r="B62">
        <f>SUMIFS(Table1[Total Profit],Table1[Country],$A62)</f>
        <v>1457942.76</v>
      </c>
      <c r="C62">
        <f>SUMIFS(Table1[Total Revenue],Table1[Country],$A62)</f>
        <v>5643356.5500000007</v>
      </c>
    </row>
    <row r="63" spans="1:3" x14ac:dyDescent="0.3">
      <c r="A63" t="s">
        <v>100</v>
      </c>
      <c r="B63">
        <f>SUMIFS(Table1[Total Profit],Table1[Country],$A63)</f>
        <v>146875.14000000001</v>
      </c>
      <c r="C63">
        <f>SUMIFS(Table1[Total Revenue],Table1[Country],$A63)</f>
        <v>445033.55</v>
      </c>
    </row>
    <row r="64" spans="1:3" x14ac:dyDescent="0.3">
      <c r="A64" t="s">
        <v>101</v>
      </c>
      <c r="B64">
        <f>SUMIFS(Table1[Total Profit],Table1[Country],$A64)</f>
        <v>235601.16</v>
      </c>
      <c r="C64">
        <f>SUMIFS(Table1[Total Revenue],Table1[Country],$A64)</f>
        <v>574951.92000000004</v>
      </c>
    </row>
    <row r="65" spans="1:3" x14ac:dyDescent="0.3">
      <c r="A65" t="s">
        <v>102</v>
      </c>
      <c r="B65">
        <f>SUMIFS(Table1[Total Profit],Table1[Country],$A65)</f>
        <v>825738.04</v>
      </c>
      <c r="C65">
        <f>SUMIFS(Table1[Total Revenue],Table1[Country],$A65)</f>
        <v>2198981.92</v>
      </c>
    </row>
    <row r="66" spans="1:3" x14ac:dyDescent="0.3">
      <c r="A66" t="s">
        <v>103</v>
      </c>
      <c r="B66">
        <f>SUMIFS(Table1[Total Profit],Table1[Country],$A66)</f>
        <v>1678540.98</v>
      </c>
      <c r="C66">
        <f>SUMIFS(Table1[Total Revenue],Table1[Country],$A66)</f>
        <v>4220728.8</v>
      </c>
    </row>
    <row r="67" spans="1:3" x14ac:dyDescent="0.3">
      <c r="A67" t="s">
        <v>104</v>
      </c>
      <c r="B67">
        <f>SUMIFS(Table1[Total Profit],Table1[Country],$A67)</f>
        <v>747939.49</v>
      </c>
      <c r="C67">
        <f>SUMIFS(Table1[Total Revenue],Table1[Country],$A67)</f>
        <v>3015902.51</v>
      </c>
    </row>
    <row r="68" spans="1:3" x14ac:dyDescent="0.3">
      <c r="A68" t="s">
        <v>105</v>
      </c>
      <c r="B68">
        <f>SUMIFS(Table1[Total Profit],Table1[Country],$A68)</f>
        <v>579000.96</v>
      </c>
      <c r="C68">
        <f>SUMIFS(Table1[Total Revenue],Table1[Country],$A68)</f>
        <v>861563.52</v>
      </c>
    </row>
    <row r="69" spans="1:3" x14ac:dyDescent="0.3">
      <c r="A69" t="s">
        <v>106</v>
      </c>
      <c r="B69">
        <f>SUMIFS(Table1[Total Profit],Table1[Country],$A69)</f>
        <v>1128242.43</v>
      </c>
      <c r="C69">
        <f>SUMIFS(Table1[Total Revenue],Table1[Country],$A69)</f>
        <v>2836990.8</v>
      </c>
    </row>
    <row r="70" spans="1:3" x14ac:dyDescent="0.3">
      <c r="A70" t="s">
        <v>107</v>
      </c>
      <c r="B70">
        <f>SUMIFS(Table1[Total Profit],Table1[Country],$A70)</f>
        <v>225246.9</v>
      </c>
      <c r="C70">
        <f>SUMIFS(Table1[Total Revenue],Table1[Country],$A70)</f>
        <v>623289.30000000005</v>
      </c>
    </row>
    <row r="71" spans="1:3" x14ac:dyDescent="0.3">
      <c r="A71" t="s">
        <v>108</v>
      </c>
      <c r="B71">
        <f>SUMIFS(Table1[Total Profit],Table1[Country],$A71)</f>
        <v>407630.41</v>
      </c>
      <c r="C71">
        <f>SUMIFS(Table1[Total Revenue],Table1[Country],$A71)</f>
        <v>994765.42</v>
      </c>
    </row>
    <row r="72" spans="1:3" x14ac:dyDescent="0.3">
      <c r="A72" t="s">
        <v>109</v>
      </c>
      <c r="B72">
        <f>SUMIFS(Table1[Total Profit],Table1[Country],$A72)</f>
        <v>1258.02</v>
      </c>
      <c r="C72">
        <f>SUMIFS(Table1[Total Revenue],Table1[Country],$A72)</f>
        <v>4870.26</v>
      </c>
    </row>
    <row r="73" spans="1:3" x14ac:dyDescent="0.3">
      <c r="A73" t="s">
        <v>110</v>
      </c>
      <c r="B73">
        <f>SUMIFS(Table1[Total Profit],Table1[Country],$A73)</f>
        <v>72975.600000000006</v>
      </c>
      <c r="C73">
        <f>SUMIFS(Table1[Total Revenue],Table1[Country],$A73)</f>
        <v>221117</v>
      </c>
    </row>
    <row r="74" spans="1:3" x14ac:dyDescent="0.3">
      <c r="A74" t="s">
        <v>111</v>
      </c>
      <c r="B74">
        <f>SUMIFS(Table1[Total Profit],Table1[Country],$A74)</f>
        <v>1375311.7</v>
      </c>
      <c r="C74">
        <f>SUMIFS(Table1[Total Revenue],Table1[Country],$A74)</f>
        <v>3458252</v>
      </c>
    </row>
    <row r="75" spans="1:3" x14ac:dyDescent="0.3">
      <c r="A75" t="s">
        <v>112</v>
      </c>
      <c r="B75">
        <f>SUMIFS(Table1[Total Profit],Table1[Country],$A75)</f>
        <v>127722.96</v>
      </c>
      <c r="C75">
        <f>SUMIFS(Table1[Total Revenue],Table1[Country],$A75)</f>
        <v>387002.2</v>
      </c>
    </row>
    <row r="76" spans="1:3" x14ac:dyDescent="0.3">
      <c r="A76" t="s">
        <v>113</v>
      </c>
      <c r="B76">
        <f>SUMIFS(Table1[Total Profit],Table1[Country],$A76)</f>
        <v>15103.47</v>
      </c>
      <c r="C76">
        <f>SUMIFS(Table1[Total Revenue],Table1[Country],$A76)</f>
        <v>58471.11</v>
      </c>
    </row>
    <row r="77" spans="1:3" x14ac:dyDescent="0.3">
      <c r="A77" t="s">
        <v>114</v>
      </c>
      <c r="B77">
        <f>SUMIFS(Table1[Total Profit],Table1[Country],$A77)</f>
        <v>889472.91</v>
      </c>
      <c r="C77">
        <f>SUMIFS(Table1[Total Revenue],Table1[Country],$A77)</f>
        <v>3586605.09</v>
      </c>
    </row>
  </sheetData>
  <dataValidations disablePrompts="1" count="1">
    <dataValidation type="list" allowBlank="1" showInputMessage="1" showErrorMessage="1" promptTitle="Countries" sqref="E2" xr:uid="{342777B9-55C1-434D-908B-B909E3268CE3}">
      <formula1>$A$2:$A$77</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460CE-F395-4012-8155-F79F60C706B7}">
  <sheetPr codeName="Sheet3"/>
  <dimension ref="A1:E14"/>
  <sheetViews>
    <sheetView workbookViewId="0">
      <selection activeCell="D24" sqref="D24"/>
    </sheetView>
  </sheetViews>
  <sheetFormatPr defaultRowHeight="14.4" x14ac:dyDescent="0.3"/>
  <cols>
    <col min="1" max="1" width="12.5546875" bestFit="1" customWidth="1"/>
    <col min="2" max="2" width="16.88671875" bestFit="1" customWidth="1"/>
    <col min="3" max="3" width="19.6640625" bestFit="1" customWidth="1"/>
    <col min="4" max="4" width="16.88671875" bestFit="1" customWidth="1"/>
  </cols>
  <sheetData>
    <row r="1" spans="1:5" x14ac:dyDescent="0.3">
      <c r="A1" s="2" t="s">
        <v>115</v>
      </c>
      <c r="B1" t="s">
        <v>118</v>
      </c>
      <c r="C1" t="s">
        <v>117</v>
      </c>
    </row>
    <row r="2" spans="1:5" x14ac:dyDescent="0.3">
      <c r="A2" s="5" t="s">
        <v>121</v>
      </c>
      <c r="B2" s="4">
        <v>2816857.02</v>
      </c>
      <c r="C2" s="4">
        <v>10482467.120000001</v>
      </c>
    </row>
    <row r="3" spans="1:5" x14ac:dyDescent="0.3">
      <c r="A3" s="5" t="s">
        <v>119</v>
      </c>
      <c r="B3" s="4">
        <v>7072050.5100000007</v>
      </c>
      <c r="C3" s="4">
        <v>24740517.769999996</v>
      </c>
    </row>
    <row r="4" spans="1:5" x14ac:dyDescent="0.3">
      <c r="A4" s="5" t="s">
        <v>122</v>
      </c>
      <c r="B4" s="4">
        <v>928351.05999999994</v>
      </c>
      <c r="C4" s="4">
        <v>2274823.87</v>
      </c>
    </row>
    <row r="5" spans="1:5" x14ac:dyDescent="0.3">
      <c r="A5" s="5" t="s">
        <v>123</v>
      </c>
      <c r="B5" s="4">
        <v>4760208.3499999996</v>
      </c>
      <c r="C5" s="4">
        <v>16187186.33</v>
      </c>
    </row>
    <row r="6" spans="1:5" x14ac:dyDescent="0.3">
      <c r="A6" s="5" t="s">
        <v>120</v>
      </c>
      <c r="B6" s="4">
        <v>4582692.3000000007</v>
      </c>
      <c r="C6" s="4">
        <v>13215739.989999998</v>
      </c>
    </row>
    <row r="7" spans="1:5" x14ac:dyDescent="0.3">
      <c r="A7" s="5" t="s">
        <v>124</v>
      </c>
      <c r="B7" s="4">
        <v>2185379.4299999997</v>
      </c>
      <c r="C7" s="4">
        <v>5230325.7699999996</v>
      </c>
    </row>
    <row r="8" spans="1:5" x14ac:dyDescent="0.3">
      <c r="A8" s="5" t="s">
        <v>125</v>
      </c>
      <c r="B8" s="4">
        <v>5578463.0599999996</v>
      </c>
      <c r="C8" s="4">
        <v>15669518.500000004</v>
      </c>
    </row>
    <row r="9" spans="1:5" x14ac:dyDescent="0.3">
      <c r="A9" s="5" t="s">
        <v>126</v>
      </c>
      <c r="B9" s="4">
        <v>579276.67000000004</v>
      </c>
      <c r="C9" s="4">
        <v>1128164.9100000001</v>
      </c>
    </row>
    <row r="10" spans="1:5" x14ac:dyDescent="0.3">
      <c r="A10" s="5" t="s">
        <v>127</v>
      </c>
      <c r="B10" s="4">
        <v>2344166.0299999998</v>
      </c>
      <c r="C10" s="4">
        <v>5314762.5600000005</v>
      </c>
    </row>
    <row r="11" spans="1:5" x14ac:dyDescent="0.3">
      <c r="A11" s="5" t="s">
        <v>128</v>
      </c>
      <c r="B11" s="4">
        <v>4506923.2499999991</v>
      </c>
      <c r="C11" s="4">
        <v>15287576.610000001</v>
      </c>
    </row>
    <row r="12" spans="1:5" x14ac:dyDescent="0.3">
      <c r="A12" s="5" t="s">
        <v>129</v>
      </c>
      <c r="B12" s="4">
        <v>6457600.6499999994</v>
      </c>
      <c r="C12" s="4">
        <v>20568222.759999998</v>
      </c>
    </row>
    <row r="13" spans="1:5" x14ac:dyDescent="0.3">
      <c r="A13" s="5" t="s">
        <v>130</v>
      </c>
      <c r="B13" s="4">
        <v>2356230.0699999998</v>
      </c>
      <c r="C13" s="4">
        <v>7249462.1200000001</v>
      </c>
    </row>
    <row r="14" spans="1:5" x14ac:dyDescent="0.3">
      <c r="A14" s="5" t="s">
        <v>116</v>
      </c>
      <c r="B14" s="4">
        <v>44168198.399999999</v>
      </c>
      <c r="C14" s="4">
        <v>137348768.31</v>
      </c>
      <c r="E14" t="s">
        <v>131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ADAFA-A3D5-4902-927A-686E40E4DD1D}">
  <sheetPr codeName="Sheet4"/>
  <dimension ref="A1:C7"/>
  <sheetViews>
    <sheetView tabSelected="1" workbookViewId="0">
      <selection activeCell="C18" sqref="C18"/>
    </sheetView>
  </sheetViews>
  <sheetFormatPr defaultRowHeight="14.4" x14ac:dyDescent="0.3"/>
  <cols>
    <col min="1" max="1" width="12.5546875" bestFit="1" customWidth="1"/>
    <col min="2" max="2" width="16.88671875" bestFit="1" customWidth="1"/>
    <col min="3" max="3" width="19.6640625" bestFit="1" customWidth="1"/>
  </cols>
  <sheetData>
    <row r="1" spans="1:3" x14ac:dyDescent="0.3">
      <c r="A1" s="2" t="s">
        <v>115</v>
      </c>
      <c r="B1" t="s">
        <v>118</v>
      </c>
      <c r="C1" t="s">
        <v>117</v>
      </c>
    </row>
    <row r="2" spans="1:3" x14ac:dyDescent="0.3">
      <c r="A2" s="3" t="s">
        <v>69</v>
      </c>
      <c r="B2" s="4">
        <v>2425317.87</v>
      </c>
      <c r="C2" s="4">
        <v>6052890.8600000003</v>
      </c>
    </row>
    <row r="3" spans="1:3" x14ac:dyDescent="0.3">
      <c r="A3" s="3" t="s">
        <v>68</v>
      </c>
      <c r="B3" s="4">
        <v>1802771.7</v>
      </c>
      <c r="C3" s="4">
        <v>6161257.9000000004</v>
      </c>
    </row>
    <row r="4" spans="1:3" x14ac:dyDescent="0.3">
      <c r="A4" s="3" t="s">
        <v>97</v>
      </c>
      <c r="B4" s="4">
        <v>1719922.04</v>
      </c>
      <c r="C4" s="4">
        <v>4324782.4000000004</v>
      </c>
    </row>
    <row r="5" spans="1:3" x14ac:dyDescent="0.3">
      <c r="A5" s="3" t="s">
        <v>103</v>
      </c>
      <c r="B5" s="4">
        <v>1678540.98</v>
      </c>
      <c r="C5" s="4">
        <v>4220728.8</v>
      </c>
    </row>
    <row r="6" spans="1:3" x14ac:dyDescent="0.3">
      <c r="A6" s="3" t="s">
        <v>46</v>
      </c>
      <c r="B6" s="4">
        <v>1609947.52</v>
      </c>
      <c r="C6" s="4">
        <v>6336545.4800000004</v>
      </c>
    </row>
    <row r="7" spans="1:3" x14ac:dyDescent="0.3">
      <c r="A7" s="3" t="s">
        <v>116</v>
      </c>
      <c r="B7" s="4">
        <v>9236500.1099999994</v>
      </c>
      <c r="C7" s="4">
        <v>27096205.440000001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D37F0-06D7-4E58-BA8D-F6D19A458E99}">
  <sheetPr codeName="Sheet5"/>
  <dimension ref="A1:C14"/>
  <sheetViews>
    <sheetView workbookViewId="0">
      <selection activeCell="B1" sqref="B1"/>
    </sheetView>
  </sheetViews>
  <sheetFormatPr defaultRowHeight="14.4" x14ac:dyDescent="0.3"/>
  <cols>
    <col min="1" max="1" width="13.109375" bestFit="1" customWidth="1"/>
    <col min="2" max="2" width="16.88671875" bestFit="1" customWidth="1"/>
    <col min="3" max="3" width="19.6640625" bestFit="1" customWidth="1"/>
  </cols>
  <sheetData>
    <row r="1" spans="1:3" x14ac:dyDescent="0.3">
      <c r="A1" s="2" t="s">
        <v>115</v>
      </c>
      <c r="B1" t="s">
        <v>118</v>
      </c>
      <c r="C1" t="s">
        <v>117</v>
      </c>
    </row>
    <row r="2" spans="1:3" x14ac:dyDescent="0.3">
      <c r="A2" s="3" t="s">
        <v>16</v>
      </c>
      <c r="B2" s="4">
        <v>3886643.7</v>
      </c>
      <c r="C2" s="4">
        <v>10350327.6</v>
      </c>
    </row>
    <row r="3" spans="1:3" x14ac:dyDescent="0.3">
      <c r="A3" s="3" t="s">
        <v>52</v>
      </c>
      <c r="B3" s="4">
        <v>888047.27999999991</v>
      </c>
      <c r="C3" s="4">
        <v>2690794.6</v>
      </c>
    </row>
    <row r="4" spans="1:3" x14ac:dyDescent="0.3">
      <c r="A4" s="3" t="s">
        <v>21</v>
      </c>
      <c r="B4" s="4">
        <v>2292443.4299999997</v>
      </c>
      <c r="C4" s="4">
        <v>5322898.9000000004</v>
      </c>
    </row>
    <row r="5" spans="1:3" x14ac:dyDescent="0.3">
      <c r="A5" s="3" t="s">
        <v>44</v>
      </c>
      <c r="B5" s="4">
        <v>5233334.4000000004</v>
      </c>
      <c r="C5" s="4">
        <v>7787292.799999998</v>
      </c>
    </row>
    <row r="6" spans="1:3" x14ac:dyDescent="0.3">
      <c r="A6" s="3" t="s">
        <v>50</v>
      </c>
      <c r="B6" s="4">
        <v>14556048.66</v>
      </c>
      <c r="C6" s="4">
        <v>36601509.600000001</v>
      </c>
    </row>
    <row r="7" spans="1:3" x14ac:dyDescent="0.3">
      <c r="A7" s="3" t="s">
        <v>30</v>
      </c>
      <c r="B7" s="4">
        <v>120495.18</v>
      </c>
      <c r="C7" s="4">
        <v>466481.34</v>
      </c>
    </row>
    <row r="8" spans="1:3" x14ac:dyDescent="0.3">
      <c r="A8" s="3" t="s">
        <v>34</v>
      </c>
      <c r="B8" s="4">
        <v>7412605.7100000009</v>
      </c>
      <c r="C8" s="4">
        <v>29889712.289999995</v>
      </c>
    </row>
    <row r="9" spans="1:3" x14ac:dyDescent="0.3">
      <c r="A9" s="3" t="s">
        <v>55</v>
      </c>
      <c r="B9" s="4">
        <v>610610</v>
      </c>
      <c r="C9" s="4">
        <v>4503675.75</v>
      </c>
    </row>
    <row r="10" spans="1:3" x14ac:dyDescent="0.3">
      <c r="A10" s="3" t="s">
        <v>26</v>
      </c>
      <c r="B10" s="4">
        <v>5929583.75</v>
      </c>
      <c r="C10" s="4">
        <v>30585380.07</v>
      </c>
    </row>
    <row r="11" spans="1:3" x14ac:dyDescent="0.3">
      <c r="A11" s="3" t="s">
        <v>39</v>
      </c>
      <c r="B11" s="4">
        <v>1220622.48</v>
      </c>
      <c r="C11" s="4">
        <v>3980904.8400000003</v>
      </c>
    </row>
    <row r="12" spans="1:3" x14ac:dyDescent="0.3">
      <c r="A12" s="3" t="s">
        <v>58</v>
      </c>
      <c r="B12" s="4">
        <v>751944.18</v>
      </c>
      <c r="C12" s="4">
        <v>2080733.46</v>
      </c>
    </row>
    <row r="13" spans="1:3" x14ac:dyDescent="0.3">
      <c r="A13" s="3" t="s">
        <v>37</v>
      </c>
      <c r="B13" s="4">
        <v>1265819.6300000001</v>
      </c>
      <c r="C13" s="4">
        <v>3089057.06</v>
      </c>
    </row>
    <row r="14" spans="1:3" x14ac:dyDescent="0.3">
      <c r="A14" s="3" t="s">
        <v>116</v>
      </c>
      <c r="B14" s="4">
        <v>44168198.399999999</v>
      </c>
      <c r="C14" s="4">
        <v>137348768.31</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8760B-FAF3-4B5E-858E-A02F4C0C05E9}">
  <sheetPr codeName="Sheet6"/>
  <dimension ref="A1:B9"/>
  <sheetViews>
    <sheetView workbookViewId="0">
      <selection activeCell="G25" sqref="G25"/>
    </sheetView>
  </sheetViews>
  <sheetFormatPr defaultRowHeight="14.4" x14ac:dyDescent="0.3"/>
  <cols>
    <col min="1" max="1" width="29.77734375" bestFit="1" customWidth="1"/>
    <col min="2" max="2" width="15.88671875" bestFit="1" customWidth="1"/>
  </cols>
  <sheetData>
    <row r="1" spans="1:2" x14ac:dyDescent="0.3">
      <c r="A1" s="2" t="s">
        <v>115</v>
      </c>
      <c r="B1" t="s">
        <v>132</v>
      </c>
    </row>
    <row r="2" spans="1:2" x14ac:dyDescent="0.3">
      <c r="A2" s="3" t="s">
        <v>41</v>
      </c>
      <c r="B2" s="4">
        <v>11</v>
      </c>
    </row>
    <row r="3" spans="1:2" x14ac:dyDescent="0.3">
      <c r="A3" s="3" t="s">
        <v>14</v>
      </c>
      <c r="B3" s="4">
        <v>11</v>
      </c>
    </row>
    <row r="4" spans="1:2" x14ac:dyDescent="0.3">
      <c r="A4" s="3" t="s">
        <v>19</v>
      </c>
      <c r="B4" s="4">
        <v>7</v>
      </c>
    </row>
    <row r="5" spans="1:2" x14ac:dyDescent="0.3">
      <c r="A5" s="3" t="s">
        <v>24</v>
      </c>
      <c r="B5" s="4">
        <v>22</v>
      </c>
    </row>
    <row r="6" spans="1:2" x14ac:dyDescent="0.3">
      <c r="A6" s="3" t="s">
        <v>71</v>
      </c>
      <c r="B6" s="4">
        <v>10</v>
      </c>
    </row>
    <row r="7" spans="1:2" x14ac:dyDescent="0.3">
      <c r="A7" s="3" t="s">
        <v>98</v>
      </c>
      <c r="B7" s="4">
        <v>3</v>
      </c>
    </row>
    <row r="8" spans="1:2" x14ac:dyDescent="0.3">
      <c r="A8" s="3" t="s">
        <v>28</v>
      </c>
      <c r="B8" s="4">
        <v>36</v>
      </c>
    </row>
    <row r="9" spans="1:2" x14ac:dyDescent="0.3">
      <c r="A9" s="3" t="s">
        <v>116</v>
      </c>
      <c r="B9" s="4">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7565E-A325-45F5-A5F1-94B56E5704B8}">
  <sheetPr codeName="Sheet7"/>
  <dimension ref="A1:B6"/>
  <sheetViews>
    <sheetView workbookViewId="0">
      <selection activeCell="G19" sqref="G19"/>
    </sheetView>
  </sheetViews>
  <sheetFormatPr defaultRowHeight="14.4" x14ac:dyDescent="0.3"/>
  <cols>
    <col min="1" max="1" width="12.5546875" bestFit="1" customWidth="1"/>
    <col min="2" max="2" width="16.88671875" bestFit="1" customWidth="1"/>
    <col min="3" max="3" width="15.88671875" bestFit="1" customWidth="1"/>
    <col min="4" max="4" width="19.6640625" bestFit="1" customWidth="1"/>
  </cols>
  <sheetData>
    <row r="1" spans="1:2" x14ac:dyDescent="0.3">
      <c r="A1" s="2" t="s">
        <v>115</v>
      </c>
      <c r="B1" t="s">
        <v>118</v>
      </c>
    </row>
    <row r="2" spans="1:2" x14ac:dyDescent="0.3">
      <c r="A2" s="3" t="s">
        <v>23</v>
      </c>
      <c r="B2" s="4">
        <v>6748328.4599999981</v>
      </c>
    </row>
    <row r="3" spans="1:2" x14ac:dyDescent="0.3">
      <c r="A3" s="3" t="s">
        <v>18</v>
      </c>
      <c r="B3" s="4">
        <v>16891599.580000002</v>
      </c>
    </row>
    <row r="4" spans="1:2" x14ac:dyDescent="0.3">
      <c r="A4" s="3" t="s">
        <v>27</v>
      </c>
      <c r="B4" s="4">
        <v>10858727.860000003</v>
      </c>
    </row>
    <row r="5" spans="1:2" x14ac:dyDescent="0.3">
      <c r="A5" s="3" t="s">
        <v>35</v>
      </c>
      <c r="B5" s="4">
        <v>9669542.5</v>
      </c>
    </row>
    <row r="6" spans="1:2" x14ac:dyDescent="0.3">
      <c r="A6" s="3" t="s">
        <v>116</v>
      </c>
      <c r="B6" s="4">
        <v>44168198.400000006</v>
      </c>
    </row>
  </sheetData>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85664-4B5D-4BFC-8AED-681BB79BF3F2}">
  <sheetPr codeName="Sheet9"/>
  <dimension ref="A1:C10"/>
  <sheetViews>
    <sheetView topLeftCell="B1" workbookViewId="0">
      <selection activeCell="P9" sqref="P9"/>
    </sheetView>
  </sheetViews>
  <sheetFormatPr defaultRowHeight="14.4" x14ac:dyDescent="0.3"/>
  <cols>
    <col min="1" max="1" width="12.5546875" bestFit="1" customWidth="1"/>
    <col min="2" max="2" width="19.6640625" bestFit="1" customWidth="1"/>
    <col min="3" max="3" width="16.88671875" bestFit="1" customWidth="1"/>
  </cols>
  <sheetData>
    <row r="1" spans="1:3" x14ac:dyDescent="0.3">
      <c r="A1" s="2" t="s">
        <v>115</v>
      </c>
      <c r="B1" t="s">
        <v>117</v>
      </c>
      <c r="C1" t="s">
        <v>118</v>
      </c>
    </row>
    <row r="2" spans="1:3" x14ac:dyDescent="0.3">
      <c r="A2" s="3" t="s">
        <v>143</v>
      </c>
      <c r="B2" s="14">
        <v>19186024.920000002</v>
      </c>
      <c r="C2" s="14">
        <v>6629567.4299999997</v>
      </c>
    </row>
    <row r="3" spans="1:3" x14ac:dyDescent="0.3">
      <c r="A3" s="3" t="s">
        <v>144</v>
      </c>
      <c r="B3" s="14">
        <v>11129166.07</v>
      </c>
      <c r="C3" s="14">
        <v>2741008.2300000004</v>
      </c>
    </row>
    <row r="4" spans="1:3" x14ac:dyDescent="0.3">
      <c r="A4" s="3" t="s">
        <v>145</v>
      </c>
      <c r="B4" s="14">
        <v>31898644.52</v>
      </c>
      <c r="C4" s="14">
        <v>9213010.120000001</v>
      </c>
    </row>
    <row r="5" spans="1:3" x14ac:dyDescent="0.3">
      <c r="A5" s="3" t="s">
        <v>146</v>
      </c>
      <c r="B5" s="14">
        <v>20330448.66</v>
      </c>
      <c r="C5" s="14">
        <v>6715420.0399999991</v>
      </c>
    </row>
    <row r="6" spans="1:3" x14ac:dyDescent="0.3">
      <c r="A6" s="3" t="s">
        <v>147</v>
      </c>
      <c r="B6" s="14">
        <v>16630214.430000002</v>
      </c>
      <c r="C6" s="14">
        <v>5879461.6799999997</v>
      </c>
    </row>
    <row r="7" spans="1:3" x14ac:dyDescent="0.3">
      <c r="A7" s="3" t="s">
        <v>148</v>
      </c>
      <c r="B7" s="14">
        <v>12427982.860000001</v>
      </c>
      <c r="C7" s="14">
        <v>3996539.4400000004</v>
      </c>
    </row>
    <row r="8" spans="1:3" x14ac:dyDescent="0.3">
      <c r="A8" s="3" t="s">
        <v>149</v>
      </c>
      <c r="B8" s="14">
        <v>12372867.219999999</v>
      </c>
      <c r="C8" s="14">
        <v>4903838.01</v>
      </c>
    </row>
    <row r="9" spans="1:3" x14ac:dyDescent="0.3">
      <c r="A9" s="3" t="s">
        <v>150</v>
      </c>
      <c r="B9" s="14">
        <v>13373419.629999999</v>
      </c>
      <c r="C9" s="14">
        <v>4089353.45</v>
      </c>
    </row>
    <row r="10" spans="1:3" x14ac:dyDescent="0.3">
      <c r="A10" s="3" t="s">
        <v>116</v>
      </c>
      <c r="B10" s="4">
        <v>137348768.31</v>
      </c>
      <c r="C10" s="4">
        <v>44168198.399999999</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2F2F5-F402-41CA-AAFA-8AA177B598F0}">
  <sheetPr codeName="Sheet8"/>
  <dimension ref="A1"/>
  <sheetViews>
    <sheetView showGridLines="0" topLeftCell="A16" zoomScale="85" zoomScaleNormal="85" workbookViewId="0">
      <selection activeCell="Z20" sqref="Z20"/>
    </sheetView>
  </sheetViews>
  <sheetFormatPr defaultRowHeight="14.4" x14ac:dyDescent="0.3"/>
  <cols>
    <col min="14" max="14" width="8.88671875" customWidth="1"/>
  </cols>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429E78E-D0ED-421D-A402-EB2B8025E40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100 Sales Records</vt:lpstr>
      <vt:lpstr>Calc</vt:lpstr>
      <vt:lpstr>Sheet3</vt:lpstr>
      <vt:lpstr>Top 5 coun.</vt:lpstr>
      <vt:lpstr>Pie Chart</vt:lpstr>
      <vt:lpstr>Order count by region</vt:lpstr>
      <vt:lpstr>Order Priority</vt:lpstr>
      <vt:lpstr>Sheet2</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RAHUL GUPTA</dc:creator>
  <cp:lastModifiedBy>RAHUL GUPTA</cp:lastModifiedBy>
  <dcterms:created xsi:type="dcterms:W3CDTF">2022-05-06T10:49:36Z</dcterms:created>
  <dcterms:modified xsi:type="dcterms:W3CDTF">2022-06-15T19:55:45Z</dcterms:modified>
</cp:coreProperties>
</file>